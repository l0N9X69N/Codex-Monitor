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 Case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verage Matrix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'Manual Test Cases'!$A$1:$L$78</definedName>
    <definedName name="_xlnm._FilterDatabase" localSheetId="2" hidden="1">'Coverage Matrix'!$A$1:$I$15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0000"/>
    </font>
    <font>
      <b val="1"/>
      <color rgb="000000FF"/>
    </font>
    <font>
      <color rgb="000000FF"/>
    </font>
    <font>
      <b val="1"/>
      <color rgb="00FFFFFF"/>
      <sz val="16"/>
    </font>
    <font>
      <b val="1"/>
      <color rgb="00666666"/>
    </font>
    <font>
      <color rgb="00008000"/>
    </font>
    <font>
      <b val="1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0F6B78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1" fillId="3" borderId="0" pivotButton="0" quotePrefix="0" xfId="0"/>
    <xf numFmtId="0" fontId="0" fillId="4" borderId="0" applyAlignment="1" pivotButton="0" quotePrefix="0" xfId="0">
      <alignment vertical="top" wrapText="1"/>
    </xf>
    <xf numFmtId="0" fontId="9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10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Manual QA Status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'Dashboard'!$D$4:$D$8</f>
            </numRef>
          </cat>
          <val>
            <numRef>
              <f>'Dashboard'!$E$4:$E$8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Test inventory derived from repository README, current CLI architecture, automated phase regressions, and release manual checklist on v1-finalization.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0" customWidth="1" min="3" max="3"/>
    <col width="13" customWidth="1" min="4" max="4"/>
    <col width="35" customWidth="1" min="5" max="5"/>
    <col width="58" customWidth="1" min="6" max="6"/>
    <col width="58" customWidth="1" min="7" max="7"/>
    <col width="13" customWidth="1" min="8" max="8"/>
    <col width="45" customWidth="1" min="9" max="9"/>
    <col width="25" customWidth="1" min="10" max="10"/>
    <col width="12" customWidth="1" min="11" max="11"/>
    <col width="35" customWidth="1" min="12" max="12"/>
  </cols>
  <sheetData>
    <row r="1" ht="32" customHeight="1">
      <c r="A1" s="1" t="inlineStr">
        <is>
          <t>ID</t>
        </is>
      </c>
      <c r="B1" s="1" t="inlineStr">
        <is>
          <t>Area</t>
        </is>
      </c>
      <c r="C1" s="1" t="inlineStr">
        <is>
          <t>Priority</t>
        </is>
      </c>
      <c r="D1" s="1" t="inlineStr">
        <is>
          <t>Platform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Actual result / Evidence</t>
        </is>
      </c>
      <c r="J1" s="1" t="inlineStr">
        <is>
          <t>Bug / Issue</t>
        </is>
      </c>
      <c r="K1" s="1" t="inlineStr">
        <is>
          <t>Retest</t>
        </is>
      </c>
      <c r="L1" s="1" t="inlineStr">
        <is>
          <t>Notes</t>
        </is>
      </c>
    </row>
    <row r="2">
      <c r="A2" s="2" t="inlineStr">
        <is>
          <t>MT-001</t>
        </is>
      </c>
      <c r="B2" s="2" t="inlineStr">
        <is>
          <t>Install</t>
        </is>
      </c>
      <c r="C2" s="2" t="inlineStr">
        <is>
          <t>P0</t>
        </is>
      </c>
      <c r="D2" s="2" t="inlineStr">
        <is>
          <t>Windows</t>
        </is>
      </c>
      <c r="E2" s="2" t="inlineStr">
        <is>
          <t>Fresh Windows profile; PowerShell; internet; supported Node/npm already installed</t>
        </is>
      </c>
      <c r="F2" s="2" t="inlineStr">
        <is>
          <t>Run root install.ps1 from GitHub. Then run: Get-Command codexm,codexmm,codexmc,codexmh,codexmctl.</t>
        </is>
      </c>
      <c r="G2" s="2" t="inlineStr">
        <is>
          <t>Installer completes; reuses existing Node/npm; all five commands resolve; official Codex is not modified.</t>
        </is>
      </c>
      <c r="H2" s="3" t="inlineStr">
        <is>
          <t>NOT RUN</t>
        </is>
      </c>
      <c r="I2" s="4" t="inlineStr"/>
      <c r="J2" s="4" t="inlineStr"/>
      <c r="K2" s="4" t="inlineStr">
        <is>
          <t>NO</t>
        </is>
      </c>
      <c r="L2" s="2" t="inlineStr"/>
    </row>
    <row r="3">
      <c r="A3" s="2" t="inlineStr">
        <is>
          <t>MT-002</t>
        </is>
      </c>
      <c r="B3" s="2" t="inlineStr">
        <is>
          <t>Install</t>
        </is>
      </c>
      <c r="C3" s="2" t="inlineStr">
        <is>
          <t>P0</t>
        </is>
      </c>
      <c r="D3" s="2" t="inlineStr">
        <is>
          <t>Windows</t>
        </is>
      </c>
      <c r="E3" s="2" t="inlineStr">
        <is>
          <t>Fresh machine/profile with Node and npm both absent; winget available</t>
        </is>
      </c>
      <c r="F3" s="2" t="inlineStr">
        <is>
          <t>Run root install.ps1. Record Node/npm versions before/after.</t>
        </is>
      </c>
      <c r="G3" s="2" t="inlineStr">
        <is>
          <t>Installer installs current Node LTS package via winget with bundled npm, then installs Monitor successfully.</t>
        </is>
      </c>
      <c r="H3" s="3" t="inlineStr">
        <is>
          <t>NOT RUN</t>
        </is>
      </c>
      <c r="I3" s="4" t="inlineStr"/>
      <c r="J3" s="4" t="inlineStr"/>
      <c r="K3" s="4" t="inlineStr">
        <is>
          <t>NO</t>
        </is>
      </c>
      <c r="L3" s="2" t="inlineStr"/>
    </row>
    <row r="4">
      <c r="A4" s="2" t="inlineStr">
        <is>
          <t>MT-003</t>
        </is>
      </c>
      <c r="B4" s="2" t="inlineStr">
        <is>
          <t>Install</t>
        </is>
      </c>
      <c r="C4" s="2" t="inlineStr">
        <is>
          <t>P0</t>
        </is>
      </c>
      <c r="D4" s="2" t="inlineStr">
        <is>
          <t>Windows</t>
        </is>
      </c>
      <c r="E4" s="2" t="inlineStr">
        <is>
          <t>Existing unsupported Node version or incomplete Node/npm runtime</t>
        </is>
      </c>
      <c r="F4" s="2" t="inlineStr">
        <is>
          <t>Run root install.ps1.</t>
        </is>
      </c>
      <c r="G4" s="2" t="inlineStr">
        <is>
          <t>Installer stops with actionable error; does not upgrade/replace existing shared Node/npm.</t>
        </is>
      </c>
      <c r="H4" s="3" t="inlineStr">
        <is>
          <t>NOT RUN</t>
        </is>
      </c>
      <c r="I4" s="4" t="inlineStr"/>
      <c r="J4" s="4" t="inlineStr"/>
      <c r="K4" s="4" t="inlineStr">
        <is>
          <t>NO</t>
        </is>
      </c>
      <c r="L4" s="2" t="inlineStr"/>
    </row>
    <row r="5">
      <c r="A5" s="2" t="inlineStr">
        <is>
          <t>MT-004</t>
        </is>
      </c>
      <c r="B5" s="2" t="inlineStr">
        <is>
          <t>Install</t>
        </is>
      </c>
      <c r="C5" s="2" t="inlineStr">
        <is>
          <t>P1</t>
        </is>
      </c>
      <c r="D5" s="2" t="inlineStr">
        <is>
          <t>Windows</t>
        </is>
      </c>
      <c r="E5" s="2" t="inlineStr">
        <is>
          <t>Official codex command absent</t>
        </is>
      </c>
      <c r="F5" s="2" t="inlineStr">
        <is>
          <t>Run root install.ps1.</t>
        </is>
      </c>
      <c r="G5" s="2" t="inlineStr">
        <is>
          <t>Monitor can install; installer warns that official Codex is missing and does not install it.</t>
        </is>
      </c>
      <c r="H5" s="3" t="inlineStr">
        <is>
          <t>NOT RUN</t>
        </is>
      </c>
      <c r="I5" s="4" t="inlineStr"/>
      <c r="J5" s="4" t="inlineStr"/>
      <c r="K5" s="4" t="inlineStr">
        <is>
          <t>NO</t>
        </is>
      </c>
      <c r="L5" s="2" t="inlineStr"/>
    </row>
    <row r="6">
      <c r="A6" s="2" t="inlineStr">
        <is>
          <t>MT-005</t>
        </is>
      </c>
      <c r="B6" s="2" t="inlineStr">
        <is>
          <t>Install</t>
        </is>
      </c>
      <c r="C6" s="2" t="inlineStr">
        <is>
          <t>P0</t>
        </is>
      </c>
      <c r="D6" s="2" t="inlineStr">
        <is>
          <t>Windows</t>
        </is>
      </c>
      <c r="E6" s="2" t="inlineStr">
        <is>
          <t>Monitor already installed</t>
        </is>
      </c>
      <c r="F6" s="2" t="inlineStr">
        <is>
          <t>Run installer again.</t>
        </is>
      </c>
      <c r="G6" s="2" t="inlineStr">
        <is>
          <t>Recognized Monitor install is replaced safely; npm ci/link succeeds; no unrelated command shim is overwritten.</t>
        </is>
      </c>
      <c r="H6" s="3" t="inlineStr">
        <is>
          <t>NOT RUN</t>
        </is>
      </c>
      <c r="I6" s="4" t="inlineStr"/>
      <c r="J6" s="4" t="inlineStr"/>
      <c r="K6" s="4" t="inlineStr">
        <is>
          <t>NO</t>
        </is>
      </c>
      <c r="L6" s="2" t="inlineStr"/>
    </row>
    <row r="7">
      <c r="A7" s="2" t="inlineStr">
        <is>
          <t>MT-006</t>
        </is>
      </c>
      <c r="B7" s="2" t="inlineStr">
        <is>
          <t>Command family</t>
        </is>
      </c>
      <c r="C7" s="2" t="inlineStr">
        <is>
          <t>P0</t>
        </is>
      </c>
      <c r="D7" s="2" t="inlineStr">
        <is>
          <t>Windows</t>
        </is>
      </c>
      <c r="E7" s="2" t="inlineStr">
        <is>
          <t>Installed Monitor</t>
        </is>
      </c>
      <c r="F7" s="2" t="inlineStr">
        <is>
          <t>Run codexmh; codexmm -h; codexmc -h; codexmctl.</t>
        </is>
      </c>
      <c r="G7" s="2" t="inlineStr">
        <is>
          <t>Dedicated command family is visible and help language follows persisted Monitor language.</t>
        </is>
      </c>
      <c r="H7" s="3" t="inlineStr">
        <is>
          <t>NOT RUN</t>
        </is>
      </c>
      <c r="I7" s="4" t="inlineStr"/>
      <c r="J7" s="4" t="inlineStr"/>
      <c r="K7" s="4" t="inlineStr">
        <is>
          <t>NO</t>
        </is>
      </c>
      <c r="L7" s="2" t="inlineStr"/>
    </row>
    <row r="8">
      <c r="A8" s="2" t="inlineStr">
        <is>
          <t>MT-007</t>
        </is>
      </c>
      <c r="B8" s="2" t="inlineStr">
        <is>
          <t>Command family</t>
        </is>
      </c>
      <c r="C8" s="2" t="inlineStr">
        <is>
          <t>P0</t>
        </is>
      </c>
      <c r="D8" s="2" t="inlineStr">
        <is>
          <t>Windows</t>
        </is>
      </c>
      <c r="E8" s="2" t="inlineStr">
        <is>
          <t>Installed Monitor + official Codex</t>
        </is>
      </c>
      <c r="F8" s="2" t="inlineStr">
        <is>
          <t>Run codexm --help, codexm --version, codexm --manager, codexm --history and a known Codex option.</t>
        </is>
      </c>
      <c r="G8" s="2" t="inlineStr">
        <is>
          <t>All arguments are forwarded to official Codex unchanged; Monitor does not consume legacy --manager/--history flags.</t>
        </is>
      </c>
      <c r="H8" s="3" t="inlineStr">
        <is>
          <t>NOT RUN</t>
        </is>
      </c>
      <c r="I8" s="4" t="inlineStr"/>
      <c r="J8" s="4" t="inlineStr"/>
      <c r="K8" s="4" t="inlineStr">
        <is>
          <t>NO</t>
        </is>
      </c>
      <c r="L8" s="2" t="inlineStr"/>
    </row>
    <row r="9">
      <c r="A9" s="2" t="inlineStr">
        <is>
          <t>MT-008</t>
        </is>
      </c>
      <c r="B9" s="2" t="inlineStr">
        <is>
          <t>Command family</t>
        </is>
      </c>
      <c r="C9" s="2" t="inlineStr">
        <is>
          <t>P0</t>
        </is>
      </c>
      <c r="D9" s="2" t="inlineStr">
        <is>
          <t>Windows</t>
        </is>
      </c>
      <c r="E9" s="2" t="inlineStr">
        <is>
          <t>Installed Monitor + official Codex</t>
        </is>
      </c>
      <c r="F9" s="2" t="inlineStr">
        <is>
          <t>Run codexm -- --history and another argument sequence after --.</t>
        </is>
      </c>
      <c r="G9" s="2" t="inlineStr">
        <is>
          <t>Exact argument order including -- boundary reaches official Codex unchanged.</t>
        </is>
      </c>
      <c r="H9" s="3" t="inlineStr">
        <is>
          <t>NOT RUN</t>
        </is>
      </c>
      <c r="I9" s="4" t="inlineStr"/>
      <c r="J9" s="4" t="inlineStr"/>
      <c r="K9" s="4" t="inlineStr">
        <is>
          <t>NO</t>
        </is>
      </c>
      <c r="L9" s="2" t="inlineStr"/>
    </row>
    <row r="10">
      <c r="A10" s="2" t="inlineStr">
        <is>
          <t>MT-009</t>
        </is>
      </c>
      <c r="B10" s="2" t="inlineStr">
        <is>
          <t>First run</t>
        </is>
      </c>
      <c r="C10" s="2" t="inlineStr">
        <is>
          <t>P0</t>
        </is>
      </c>
      <c r="D10" s="2" t="inlineStr">
        <is>
          <t>Windows</t>
        </is>
      </c>
      <c r="E10" s="2" t="inlineStr">
        <is>
          <t>Clean Monitor config; interactive terminal</t>
        </is>
      </c>
      <c r="F10" s="2" t="inlineStr">
        <is>
          <t>Run bare codexm.</t>
        </is>
      </c>
      <c r="G10" s="2" t="inlineStr">
        <is>
          <t>Onboarding appears before Codex; Archive is Disabled by default; no config is persisted until explicit Save.</t>
        </is>
      </c>
      <c r="H10" s="3" t="inlineStr">
        <is>
          <t>NOT RUN</t>
        </is>
      </c>
      <c r="I10" s="4" t="inlineStr"/>
      <c r="J10" s="4" t="inlineStr"/>
      <c r="K10" s="4" t="inlineStr">
        <is>
          <t>NO</t>
        </is>
      </c>
      <c r="L10" s="2" t="inlineStr"/>
    </row>
    <row r="11">
      <c r="A11" s="2" t="inlineStr">
        <is>
          <t>MT-010</t>
        </is>
      </c>
      <c r="B11" s="2" t="inlineStr">
        <is>
          <t>First run</t>
        </is>
      </c>
      <c r="C11" s="2" t="inlineStr">
        <is>
          <t>P0</t>
        </is>
      </c>
      <c r="D11" s="2" t="inlineStr">
        <is>
          <t>Windows</t>
        </is>
      </c>
      <c r="E11" s="2" t="inlineStr">
        <is>
          <t>Clean Monitor config</t>
        </is>
      </c>
      <c r="F11" s="2" t="inlineStr">
        <is>
          <t>Cancel onboarding.</t>
        </is>
      </c>
      <c r="G11" s="2" t="inlineStr">
        <is>
          <t>Codex does not start; config/preferences and Archive side effects are not saved/applied.</t>
        </is>
      </c>
      <c r="H11" s="3" t="inlineStr">
        <is>
          <t>NOT RUN</t>
        </is>
      </c>
      <c r="I11" s="4" t="inlineStr"/>
      <c r="J11" s="4" t="inlineStr"/>
      <c r="K11" s="4" t="inlineStr">
        <is>
          <t>NO</t>
        </is>
      </c>
      <c r="L11" s="2" t="inlineStr"/>
    </row>
    <row r="12">
      <c r="A12" s="2" t="inlineStr">
        <is>
          <t>MT-011</t>
        </is>
      </c>
      <c r="B12" s="2" t="inlineStr">
        <is>
          <t>First run</t>
        </is>
      </c>
      <c r="C12" s="2" t="inlineStr">
        <is>
          <t>P0</t>
        </is>
      </c>
      <c r="D12" s="2" t="inlineStr">
        <is>
          <t>Windows</t>
        </is>
      </c>
      <c r="E12" s="2" t="inlineStr">
        <is>
          <t>Complete onboarding and Save</t>
        </is>
      </c>
      <c r="F12" s="2" t="inlineStr">
        <is>
          <t>Close and run bare codexm again.</t>
        </is>
      </c>
      <c r="G12" s="2" t="inlineStr">
        <is>
          <t>Onboarding is skipped and Codex starts with saved Monitor configuration.</t>
        </is>
      </c>
      <c r="H12" s="3" t="inlineStr">
        <is>
          <t>NOT RUN</t>
        </is>
      </c>
      <c r="I12" s="4" t="inlineStr"/>
      <c r="J12" s="4" t="inlineStr"/>
      <c r="K12" s="4" t="inlineStr">
        <is>
          <t>NO</t>
        </is>
      </c>
      <c r="L12" s="2" t="inlineStr"/>
    </row>
    <row r="13">
      <c r="A13" s="2" t="inlineStr">
        <is>
          <t>MT-012</t>
        </is>
      </c>
      <c r="B13" s="2" t="inlineStr">
        <is>
          <t>First run</t>
        </is>
      </c>
      <c r="C13" s="2" t="inlineStr">
        <is>
          <t>P0</t>
        </is>
      </c>
      <c r="D13" s="2" t="inlineStr">
        <is>
          <t>Windows</t>
        </is>
      </c>
      <c r="E13" s="2" t="inlineStr">
        <is>
          <t>Clean Monitor config</t>
        </is>
      </c>
      <c r="F13" s="2" t="inlineStr">
        <is>
          <t>Run codexm with any Codex argument such as --help.</t>
        </is>
      </c>
      <c r="G13" s="2" t="inlineStr">
        <is>
          <t>Onboarding does not intercept argument-bearing invocation.</t>
        </is>
      </c>
      <c r="H13" s="3" t="inlineStr">
        <is>
          <t>NOT RUN</t>
        </is>
      </c>
      <c r="I13" s="4" t="inlineStr"/>
      <c r="J13" s="4" t="inlineStr"/>
      <c r="K13" s="4" t="inlineStr">
        <is>
          <t>NO</t>
        </is>
      </c>
      <c r="L13" s="2" t="inlineStr"/>
    </row>
    <row r="14">
      <c r="A14" s="2" t="inlineStr">
        <is>
          <t>MT-013</t>
        </is>
      </c>
      <c r="B14" s="2" t="inlineStr">
        <is>
          <t>Config</t>
        </is>
      </c>
      <c r="C14" s="2" t="inlineStr">
        <is>
          <t>P0</t>
        </is>
      </c>
      <c r="D14" s="2" t="inlineStr">
        <is>
          <t>Windows</t>
        </is>
      </c>
      <c r="E14" s="2" t="inlineStr">
        <is>
          <t>Installed Monitor</t>
        </is>
      </c>
      <c r="F14" s="2" t="inlineStr">
        <is>
          <t>Run codexmc; change several settings; preview; cancel.</t>
        </is>
      </c>
      <c r="G14" s="2" t="inlineStr">
        <is>
          <t>Preview reflects draft using production renderers; cancel leaves persisted config unchanged.</t>
        </is>
      </c>
      <c r="H14" s="3" t="inlineStr">
        <is>
          <t>NOT RUN</t>
        </is>
      </c>
      <c r="I14" s="4" t="inlineStr"/>
      <c r="J14" s="4" t="inlineStr"/>
      <c r="K14" s="4" t="inlineStr">
        <is>
          <t>NO</t>
        </is>
      </c>
      <c r="L14" s="2" t="inlineStr"/>
    </row>
    <row r="15">
      <c r="A15" s="2" t="inlineStr">
        <is>
          <t>MT-014</t>
        </is>
      </c>
      <c r="B15" s="2" t="inlineStr">
        <is>
          <t>Config</t>
        </is>
      </c>
      <c r="C15" s="2" t="inlineStr">
        <is>
          <t>P0</t>
        </is>
      </c>
      <c r="D15" s="2" t="inlineStr">
        <is>
          <t>Windows</t>
        </is>
      </c>
      <c r="E15" s="2" t="inlineStr">
        <is>
          <t>Installed Monitor</t>
        </is>
      </c>
      <c r="F15" s="2" t="inlineStr">
        <is>
          <t>Run codexmc; change settings; Save; reopen codexmc.</t>
        </is>
      </c>
      <c r="G15" s="2" t="inlineStr">
        <is>
          <t>Saved settings persist and setup is complete.</t>
        </is>
      </c>
      <c r="H15" s="3" t="inlineStr">
        <is>
          <t>NOT RUN</t>
        </is>
      </c>
      <c r="I15" s="4" t="inlineStr"/>
      <c r="J15" s="4" t="inlineStr"/>
      <c r="K15" s="4" t="inlineStr">
        <is>
          <t>NO</t>
        </is>
      </c>
      <c r="L15" s="2" t="inlineStr"/>
    </row>
    <row r="16">
      <c r="A16" s="2" t="inlineStr">
        <is>
          <t>MT-015</t>
        </is>
      </c>
      <c r="B16" s="2" t="inlineStr">
        <is>
          <t>Config</t>
        </is>
      </c>
      <c r="C16" s="2" t="inlineStr">
        <is>
          <t>P0</t>
        </is>
      </c>
      <c r="D16" s="2" t="inlineStr">
        <is>
          <t>Windows</t>
        </is>
      </c>
      <c r="E16" s="2" t="inlineStr">
        <is>
          <t>Existing config and Codex auth/sessions</t>
        </is>
      </c>
      <c r="F16" s="2" t="inlineStr">
        <is>
          <t>Run codexmc --reset; inspect confirmation; confirm and Save.</t>
        </is>
      </c>
      <c r="G16" s="2" t="inlineStr">
        <is>
          <t>Only Monitor preferences reset; Codex auth/sessions and Archive DB are preserved.</t>
        </is>
      </c>
      <c r="H16" s="3" t="inlineStr">
        <is>
          <t>NOT RUN</t>
        </is>
      </c>
      <c r="I16" s="4" t="inlineStr"/>
      <c r="J16" s="4" t="inlineStr"/>
      <c r="K16" s="4" t="inlineStr">
        <is>
          <t>NO</t>
        </is>
      </c>
      <c r="L16" s="2" t="inlineStr"/>
    </row>
    <row r="17">
      <c r="A17" s="2" t="inlineStr">
        <is>
          <t>MT-016</t>
        </is>
      </c>
      <c r="B17" s="2" t="inlineStr">
        <is>
          <t>Config</t>
        </is>
      </c>
      <c r="C17" s="2" t="inlineStr">
        <is>
          <t>P1</t>
        </is>
      </c>
      <c r="D17" s="2" t="inlineStr">
        <is>
          <t>Windows</t>
        </is>
      </c>
      <c r="E17" s="2" t="inlineStr">
        <is>
          <t>Malformed config file</t>
        </is>
      </c>
      <c r="F17" s="2" t="inlineStr">
        <is>
          <t>Launch codexmc/codexm interactively.</t>
        </is>
      </c>
      <c r="G17" s="2" t="inlineStr">
        <is>
          <t>Recovery notice is shown; original malformed file is preserved until explicit Save.</t>
        </is>
      </c>
      <c r="H17" s="3" t="inlineStr">
        <is>
          <t>NOT RUN</t>
        </is>
      </c>
      <c r="I17" s="4" t="inlineStr"/>
      <c r="J17" s="4" t="inlineStr"/>
      <c r="K17" s="4" t="inlineStr">
        <is>
          <t>NO</t>
        </is>
      </c>
      <c r="L17" s="2" t="inlineStr"/>
    </row>
    <row r="18">
      <c r="A18" s="2" t="inlineStr">
        <is>
          <t>MT-017</t>
        </is>
      </c>
      <c r="B18" s="2" t="inlineStr">
        <is>
          <t>Config</t>
        </is>
      </c>
      <c r="C18" s="2" t="inlineStr">
        <is>
          <t>P1</t>
        </is>
      </c>
      <c r="D18" s="2" t="inlineStr">
        <is>
          <t>Windows</t>
        </is>
      </c>
      <c r="E18" s="2" t="inlineStr">
        <is>
          <t>Config with future unsupported version</t>
        </is>
      </c>
      <c r="F18" s="2" t="inlineStr">
        <is>
          <t>Launch Config.</t>
        </is>
      </c>
      <c r="G18" s="2" t="inlineStr">
        <is>
          <t>Future config is rejected safely; source file is not modified.</t>
        </is>
      </c>
      <c r="H18" s="3" t="inlineStr">
        <is>
          <t>NOT RUN</t>
        </is>
      </c>
      <c r="I18" s="4" t="inlineStr"/>
      <c r="J18" s="4" t="inlineStr"/>
      <c r="K18" s="4" t="inlineStr">
        <is>
          <t>NO</t>
        </is>
      </c>
      <c r="L18" s="2" t="inlineStr"/>
    </row>
    <row r="19">
      <c r="A19" s="2" t="inlineStr">
        <is>
          <t>MT-018</t>
        </is>
      </c>
      <c r="B19" s="2" t="inlineStr">
        <is>
          <t>Config</t>
        </is>
      </c>
      <c r="C19" s="2" t="inlineStr">
        <is>
          <t>P1</t>
        </is>
      </c>
      <c r="D19" s="2" t="inlineStr">
        <is>
          <t>Windows</t>
        </is>
      </c>
      <c r="E19" s="2" t="inlineStr">
        <is>
          <t>Vietnamese selected</t>
        </is>
      </c>
      <c r="F19" s="2" t="inlineStr">
        <is>
          <t>Open Config in cyberpunk:256 and inspect footer/help.</t>
        </is>
      </c>
      <c r="G19" s="2" t="inlineStr">
        <is>
          <t>Canonical English control vocabulary is retained where designed; Vietnamese explanations display correctly; semantic hotkey accents are visible.</t>
        </is>
      </c>
      <c r="H19" s="3" t="inlineStr">
        <is>
          <t>NOT RUN</t>
        </is>
      </c>
      <c r="I19" s="4" t="inlineStr"/>
      <c r="J19" s="4" t="inlineStr"/>
      <c r="K19" s="4" t="inlineStr">
        <is>
          <t>NO</t>
        </is>
      </c>
      <c r="L19" s="2" t="inlineStr"/>
    </row>
    <row r="20">
      <c r="A20" s="2" t="inlineStr">
        <is>
          <t>MT-019</t>
        </is>
      </c>
      <c r="B20" s="2" t="inlineStr">
        <is>
          <t>Live Monitor</t>
        </is>
      </c>
      <c r="C20" s="2" t="inlineStr">
        <is>
          <t>P0</t>
        </is>
      </c>
      <c r="D20" s="2" t="inlineStr">
        <is>
          <t>Windows</t>
        </is>
      </c>
      <c r="E20" s="2" t="inlineStr">
        <is>
          <t>Official Codex login auth configured</t>
        </is>
      </c>
      <c r="F20" s="2" t="inlineStr">
        <is>
          <t>Run bare codexm and perform a normal prompt/tool interaction.</t>
        </is>
      </c>
      <c r="G20" s="2" t="inlineStr">
        <is>
          <t>Official Codex works normally inside Live Monitor; HUD updates without breaking interaction.</t>
        </is>
      </c>
      <c r="H20" s="3" t="inlineStr">
        <is>
          <t>NOT RUN</t>
        </is>
      </c>
      <c r="I20" s="4" t="inlineStr"/>
      <c r="J20" s="4" t="inlineStr"/>
      <c r="K20" s="4" t="inlineStr">
        <is>
          <t>NO</t>
        </is>
      </c>
      <c r="L20" s="2" t="inlineStr"/>
    </row>
    <row r="21">
      <c r="A21" s="2" t="inlineStr">
        <is>
          <t>MT-020</t>
        </is>
      </c>
      <c r="B21" s="2" t="inlineStr">
        <is>
          <t>Live Monitor</t>
        </is>
      </c>
      <c r="C21" s="2" t="inlineStr">
        <is>
          <t>P1</t>
        </is>
      </c>
      <c r="D21" s="2" t="inlineStr">
        <is>
          <t>Windows</t>
        </is>
      </c>
      <c r="E21" s="2" t="inlineStr">
        <is>
          <t>API auth available/configured</t>
        </is>
      </c>
      <c r="F21" s="2" t="inlineStr">
        <is>
          <t>Run codexm under API-key auth.</t>
        </is>
      </c>
      <c r="G21" s="2" t="inlineStr">
        <is>
          <t>Live Monitor detects/represents API auth correctly and Codex remains usable.</t>
        </is>
      </c>
      <c r="H21" s="3" t="inlineStr">
        <is>
          <t>NOT RUN</t>
        </is>
      </c>
      <c r="I21" s="4" t="inlineStr"/>
      <c r="J21" s="4" t="inlineStr"/>
      <c r="K21" s="4" t="inlineStr">
        <is>
          <t>NO</t>
        </is>
      </c>
      <c r="L21" s="2" t="inlineStr"/>
    </row>
    <row r="22">
      <c r="A22" s="2" t="inlineStr">
        <is>
          <t>MT-021</t>
        </is>
      </c>
      <c r="B22" s="2" t="inlineStr">
        <is>
          <t>Live Monitor</t>
        </is>
      </c>
      <c r="C22" s="2" t="inlineStr">
        <is>
          <t>P0</t>
        </is>
      </c>
      <c r="D22" s="2" t="inlineStr">
        <is>
          <t>Windows</t>
        </is>
      </c>
      <c r="E22" s="2" t="inlineStr">
        <is>
          <t>Interactive Codex session</t>
        </is>
      </c>
      <c r="F22" s="2" t="inlineStr">
        <is>
          <t>Type normal text rapidly; use Enter, arrows and common Codex input keys.</t>
        </is>
      </c>
      <c r="G22" s="2" t="inlineStr">
        <is>
          <t>After Codex spawn, Codex owns stdin; Monitor does not swallow normal input or introduce obvious latency.</t>
        </is>
      </c>
      <c r="H22" s="3" t="inlineStr">
        <is>
          <t>NOT RUN</t>
        </is>
      </c>
      <c r="I22" s="4" t="inlineStr"/>
      <c r="J22" s="4" t="inlineStr"/>
      <c r="K22" s="4" t="inlineStr">
        <is>
          <t>NO</t>
        </is>
      </c>
      <c r="L22" s="2" t="inlineStr"/>
    </row>
    <row r="23">
      <c r="A23" s="2" t="inlineStr">
        <is>
          <t>MT-022</t>
        </is>
      </c>
      <c r="B23" s="2" t="inlineStr">
        <is>
          <t>Live Monitor</t>
        </is>
      </c>
      <c r="C23" s="2" t="inlineStr">
        <is>
          <t>P0</t>
        </is>
      </c>
      <c r="D23" s="2" t="inlineStr">
        <is>
          <t>Windows</t>
        </is>
      </c>
      <c r="E23" s="2" t="inlineStr">
        <is>
          <t>Interactive Codex session</t>
        </is>
      </c>
      <c r="F23" s="2" t="inlineStr">
        <is>
          <t>Press Ctrl+C / exit Codex normally.</t>
        </is>
      </c>
      <c r="G23" s="2" t="inlineStr">
        <is>
          <t>Child exits correctly and terminal cursor/mode/input state are restored.</t>
        </is>
      </c>
      <c r="H23" s="3" t="inlineStr">
        <is>
          <t>NOT RUN</t>
        </is>
      </c>
      <c r="I23" s="4" t="inlineStr"/>
      <c r="J23" s="4" t="inlineStr"/>
      <c r="K23" s="4" t="inlineStr">
        <is>
          <t>NO</t>
        </is>
      </c>
      <c r="L23" s="2" t="inlineStr"/>
    </row>
    <row r="24">
      <c r="A24" s="2" t="inlineStr">
        <is>
          <t>MT-023</t>
        </is>
      </c>
      <c r="B24" s="2" t="inlineStr">
        <is>
          <t>Live Monitor</t>
        </is>
      </c>
      <c r="C24" s="2" t="inlineStr">
        <is>
          <t>P1</t>
        </is>
      </c>
      <c r="D24" s="2" t="inlineStr">
        <is>
          <t>Windows</t>
        </is>
      </c>
      <c r="E24" s="2" t="inlineStr">
        <is>
          <t>Config supports presets</t>
        </is>
      </c>
      <c r="F24" s="2" t="inlineStr">
        <is>
          <t>Test Recommended, Compact, Full and a Custom layout.</t>
        </is>
      </c>
      <c r="G24" s="2" t="inlineStr">
        <is>
          <t>Each layout is legible, bounded and reflects selected cards/fields.</t>
        </is>
      </c>
      <c r="H24" s="3" t="inlineStr">
        <is>
          <t>NOT RUN</t>
        </is>
      </c>
      <c r="I24" s="4" t="inlineStr"/>
      <c r="J24" s="4" t="inlineStr"/>
      <c r="K24" s="4" t="inlineStr">
        <is>
          <t>NO</t>
        </is>
      </c>
      <c r="L24" s="2" t="inlineStr"/>
    </row>
    <row r="25">
      <c r="A25" s="2" t="inlineStr">
        <is>
          <t>MT-024</t>
        </is>
      </c>
      <c r="B25" s="2" t="inlineStr">
        <is>
          <t>Live Monitor</t>
        </is>
      </c>
      <c r="C25" s="2" t="inlineStr">
        <is>
          <t>P1</t>
        </is>
      </c>
      <c r="D25" s="2" t="inlineStr">
        <is>
          <t>Windows</t>
        </is>
      </c>
      <c r="E25" s="2" t="inlineStr">
        <is>
          <t>Resizable terminal</t>
        </is>
      </c>
      <c r="F25" s="2" t="inlineStr">
        <is>
          <t>Resize to narrow, normal and wide widths while active.</t>
        </is>
      </c>
      <c r="G25" s="2" t="inlineStr">
        <is>
          <t>No broken borders, uncontrolled wrapping, overlap or crash.</t>
        </is>
      </c>
      <c r="H25" s="3" t="inlineStr">
        <is>
          <t>NOT RUN</t>
        </is>
      </c>
      <c r="I25" s="4" t="inlineStr"/>
      <c r="J25" s="4" t="inlineStr"/>
      <c r="K25" s="4" t="inlineStr">
        <is>
          <t>NO</t>
        </is>
      </c>
      <c r="L25" s="2" t="inlineStr"/>
    </row>
    <row r="26">
      <c r="A26" s="2" t="inlineStr">
        <is>
          <t>MT-025</t>
        </is>
      </c>
      <c r="B26" s="2" t="inlineStr">
        <is>
          <t>Live Monitor</t>
        </is>
      </c>
      <c r="C26" s="2" t="inlineStr">
        <is>
          <t>P1</t>
        </is>
      </c>
      <c r="D26" s="2" t="inlineStr">
        <is>
          <t>Windows</t>
        </is>
      </c>
      <c r="E26" s="2" t="inlineStr">
        <is>
          <t>Themes/background options available</t>
        </is>
      </c>
      <c r="F26" s="2" t="inlineStr">
        <is>
          <t>Cycle themes/background/capability fallbacks.</t>
        </is>
      </c>
      <c r="G26" s="2" t="inlineStr">
        <is>
          <t>Readable output on supported/fallback terminal capabilities; no raw escape garbage.</t>
        </is>
      </c>
      <c r="H26" s="3" t="inlineStr">
        <is>
          <t>NOT RUN</t>
        </is>
      </c>
      <c r="I26" s="4" t="inlineStr"/>
      <c r="J26" s="4" t="inlineStr"/>
      <c r="K26" s="4" t="inlineStr">
        <is>
          <t>NO</t>
        </is>
      </c>
      <c r="L26" s="2" t="inlineStr"/>
    </row>
    <row r="27">
      <c r="A27" s="2" t="inlineStr">
        <is>
          <t>MT-026</t>
        </is>
      </c>
      <c r="B27" s="2" t="inlineStr">
        <is>
          <t>Live Monitor</t>
        </is>
      </c>
      <c r="C27" s="2" t="inlineStr">
        <is>
          <t>P1</t>
        </is>
      </c>
      <c r="D27" s="2" t="inlineStr">
        <is>
          <t>Windows</t>
        </is>
      </c>
      <c r="E27" s="2" t="inlineStr">
        <is>
          <t>Archive can be toggled</t>
        </is>
      </c>
      <c r="F27" s="2" t="inlineStr">
        <is>
          <t>Compare typing/render responsiveness with Archive OFF then ON.</t>
        </is>
      </c>
      <c r="G27" s="2" t="inlineStr">
        <is>
          <t>No visible input-latency regression attributable to Archive.</t>
        </is>
      </c>
      <c r="H27" s="3" t="inlineStr">
        <is>
          <t>NOT RUN</t>
        </is>
      </c>
      <c r="I27" s="4" t="inlineStr"/>
      <c r="J27" s="4" t="inlineStr"/>
      <c r="K27" s="4" t="inlineStr">
        <is>
          <t>NO</t>
        </is>
      </c>
      <c r="L27" s="2" t="inlineStr"/>
    </row>
    <row r="28">
      <c r="A28" s="2" t="inlineStr">
        <is>
          <t>MT-027</t>
        </is>
      </c>
      <c r="B28" s="2" t="inlineStr">
        <is>
          <t>Local resume</t>
        </is>
      </c>
      <c r="C28" s="2" t="inlineStr">
        <is>
          <t>P1</t>
        </is>
      </c>
      <c r="D28" s="2" t="inlineStr">
        <is>
          <t>Windows</t>
        </is>
      </c>
      <c r="E28" s="2" t="inlineStr">
        <is>
          <t>Several local Codex sessions exist</t>
        </is>
      </c>
      <c r="F28" s="2" t="inlineStr">
        <is>
          <t>Exercise local resume picker flows supported by codexm.</t>
        </is>
      </c>
      <c r="G28" s="2" t="inlineStr">
        <is>
          <t>Matching local sessions can be selected; selected thread resumes; no-match case falls back safely to official Codex picker.</t>
        </is>
      </c>
      <c r="H28" s="3" t="inlineStr">
        <is>
          <t>NOT RUN</t>
        </is>
      </c>
      <c r="I28" s="4" t="inlineStr"/>
      <c r="J28" s="4" t="inlineStr"/>
      <c r="K28" s="4" t="inlineStr">
        <is>
          <t>NO</t>
        </is>
      </c>
      <c r="L28" s="2" t="inlineStr"/>
    </row>
    <row r="29">
      <c r="A29" s="2" t="inlineStr">
        <is>
          <t>MT-028</t>
        </is>
      </c>
      <c r="B29" s="2" t="inlineStr">
        <is>
          <t>Session Manager</t>
        </is>
      </c>
      <c r="C29" s="2" t="inlineStr">
        <is>
          <t>P0</t>
        </is>
      </c>
      <c r="D29" s="2" t="inlineStr">
        <is>
          <t>Windows</t>
        </is>
      </c>
      <c r="E29" s="2" t="inlineStr">
        <is>
          <t>Several local sessions exist</t>
        </is>
      </c>
      <c r="F29" s="2" t="inlineStr">
        <is>
          <t>Run codexmm.</t>
        </is>
      </c>
      <c r="G29" s="2" t="inlineStr">
        <is>
          <t>Manager opens independently and does not spawn official Codex.</t>
        </is>
      </c>
      <c r="H29" s="3" t="inlineStr">
        <is>
          <t>NOT RUN</t>
        </is>
      </c>
      <c r="I29" s="4" t="inlineStr"/>
      <c r="J29" s="4" t="inlineStr"/>
      <c r="K29" s="4" t="inlineStr">
        <is>
          <t>NO</t>
        </is>
      </c>
      <c r="L29" s="2" t="inlineStr"/>
    </row>
    <row r="30">
      <c r="A30" s="2" t="inlineStr">
        <is>
          <t>MT-029</t>
        </is>
      </c>
      <c r="B30" s="2" t="inlineStr">
        <is>
          <t>Session Manager</t>
        </is>
      </c>
      <c r="C30" s="2" t="inlineStr">
        <is>
          <t>P0</t>
        </is>
      </c>
      <c r="D30" s="2" t="inlineStr">
        <is>
          <t>Windows</t>
        </is>
      </c>
      <c r="E30" s="2" t="inlineStr">
        <is>
          <t>Manager open</t>
        </is>
      </c>
      <c r="F30" s="2" t="inlineStr">
        <is>
          <t>Switch Operations, Table, Charts and Auto views.</t>
        </is>
      </c>
      <c r="G30" s="2" t="inlineStr">
        <is>
          <t>All views render and navigation remains responsive.</t>
        </is>
      </c>
      <c r="H30" s="3" t="inlineStr">
        <is>
          <t>NOT RUN</t>
        </is>
      </c>
      <c r="I30" s="4" t="inlineStr"/>
      <c r="J30" s="4" t="inlineStr"/>
      <c r="K30" s="4" t="inlineStr">
        <is>
          <t>NO</t>
        </is>
      </c>
      <c r="L30" s="2" t="inlineStr"/>
    </row>
    <row r="31">
      <c r="A31" s="2" t="inlineStr">
        <is>
          <t>MT-030</t>
        </is>
      </c>
      <c r="B31" s="2" t="inlineStr">
        <is>
          <t>Session Manager</t>
        </is>
      </c>
      <c r="C31" s="2" t="inlineStr">
        <is>
          <t>P0</t>
        </is>
      </c>
      <c r="D31" s="2" t="inlineStr">
        <is>
          <t>Windows</t>
        </is>
      </c>
      <c r="E31" s="2" t="inlineStr">
        <is>
          <t>Sessions include live/ended data</t>
        </is>
      </c>
      <c r="F31" s="2" t="inlineStr">
        <is>
          <t>Exercise search, filters, sorting, selection, detail and timeline.</t>
        </is>
      </c>
      <c r="G31" s="2" t="inlineStr">
        <is>
          <t>Results are deterministic and selected-session details correspond to the correct session.</t>
        </is>
      </c>
      <c r="H31" s="3" t="inlineStr">
        <is>
          <t>NOT RUN</t>
        </is>
      </c>
      <c r="I31" s="4" t="inlineStr"/>
      <c r="J31" s="4" t="inlineStr"/>
      <c r="K31" s="4" t="inlineStr">
        <is>
          <t>NO</t>
        </is>
      </c>
      <c r="L31" s="2" t="inlineStr"/>
    </row>
    <row r="32">
      <c r="A32" s="2" t="inlineStr">
        <is>
          <t>MT-031</t>
        </is>
      </c>
      <c r="B32" s="2" t="inlineStr">
        <is>
          <t>Session Manager</t>
        </is>
      </c>
      <c r="C32" s="2" t="inlineStr">
        <is>
          <t>P0</t>
        </is>
      </c>
      <c r="D32" s="2" t="inlineStr">
        <is>
          <t>Windows</t>
        </is>
      </c>
      <c r="E32" s="2" t="inlineStr">
        <is>
          <t>Live and ended sessions plus Archive data</t>
        </is>
      </c>
      <c r="F32" s="2" t="inlineStr">
        <is>
          <t>Inspect LIVE / ENDED / ARCHIVED representation.</t>
        </is>
      </c>
      <c r="G32" s="2" t="inlineStr">
        <is>
          <t>States are conservative and understandable; mtime alone does not falsely claim LIVE.</t>
        </is>
      </c>
      <c r="H32" s="3" t="inlineStr">
        <is>
          <t>NOT RUN</t>
        </is>
      </c>
      <c r="I32" s="4" t="inlineStr"/>
      <c r="J32" s="4" t="inlineStr"/>
      <c r="K32" s="4" t="inlineStr">
        <is>
          <t>NO</t>
        </is>
      </c>
      <c r="L32" s="2" t="inlineStr"/>
    </row>
    <row r="33">
      <c r="A33" s="2" t="inlineStr">
        <is>
          <t>MT-032</t>
        </is>
      </c>
      <c r="B33" s="2" t="inlineStr">
        <is>
          <t>Session Manager</t>
        </is>
      </c>
      <c r="C33" s="2" t="inlineStr">
        <is>
          <t>P1</t>
        </is>
      </c>
      <c r="D33" s="2" t="inlineStr">
        <is>
          <t>Windows</t>
        </is>
      </c>
      <c r="E33" s="2" t="inlineStr">
        <is>
          <t>Manager open</t>
        </is>
      </c>
      <c r="F33" s="2" t="inlineStr">
        <is>
          <t>Open Manager Config, preview Live/Manager, return without Save.</t>
        </is>
      </c>
      <c r="G33" s="2" t="inlineStr">
        <is>
          <t>Same Config controller is used; preview is bounded; returning does not persist draft.</t>
        </is>
      </c>
      <c r="H33" s="3" t="inlineStr">
        <is>
          <t>NOT RUN</t>
        </is>
      </c>
      <c r="I33" s="4" t="inlineStr"/>
      <c r="J33" s="4" t="inlineStr"/>
      <c r="K33" s="4" t="inlineStr">
        <is>
          <t>NO</t>
        </is>
      </c>
      <c r="L33" s="2" t="inlineStr"/>
    </row>
    <row r="34">
      <c r="A34" s="2" t="inlineStr">
        <is>
          <t>MT-033</t>
        </is>
      </c>
      <c r="B34" s="2" t="inlineStr">
        <is>
          <t>Session Manager</t>
        </is>
      </c>
      <c r="C34" s="2" t="inlineStr">
        <is>
          <t>P1</t>
        </is>
      </c>
      <c r="D34" s="2" t="inlineStr">
        <is>
          <t>Windows</t>
        </is>
      </c>
      <c r="E34" s="2" t="inlineStr">
        <is>
          <t>Persist Manager default view</t>
        </is>
      </c>
      <c r="F34" s="2" t="inlineStr">
        <is>
          <t>Save a default Manager view, then launch codexmm with and without one-shot --view override.</t>
        </is>
      </c>
      <c r="G34" s="2" t="inlineStr">
        <is>
          <t>Saved default persists; one-shot override affects only that invocation.</t>
        </is>
      </c>
      <c r="H34" s="3" t="inlineStr">
        <is>
          <t>NOT RUN</t>
        </is>
      </c>
      <c r="I34" s="4" t="inlineStr"/>
      <c r="J34" s="4" t="inlineStr"/>
      <c r="K34" s="4" t="inlineStr">
        <is>
          <t>NO</t>
        </is>
      </c>
      <c r="L34" s="2" t="inlineStr"/>
    </row>
    <row r="35">
      <c r="A35" s="2" t="inlineStr">
        <is>
          <t>MT-034</t>
        </is>
      </c>
      <c r="B35" s="2" t="inlineStr">
        <is>
          <t>Session Manager</t>
        </is>
      </c>
      <c r="C35" s="2" t="inlineStr">
        <is>
          <t>P1</t>
        </is>
      </c>
      <c r="D35" s="2" t="inlineStr">
        <is>
          <t>Windows</t>
        </is>
      </c>
      <c r="E35" s="2" t="inlineStr">
        <is>
          <t>1000+ session files or representative large dataset</t>
        </is>
      </c>
      <c r="F35" s="2" t="inlineStr">
        <is>
          <t>Open Manager, search/filter/select several sessions.</t>
        </is>
      </c>
      <c r="G35" s="2" t="inlineStr">
        <is>
          <t>Discovery remains usable; metadata listing does not require full-reading every session body.</t>
        </is>
      </c>
      <c r="H35" s="3" t="inlineStr">
        <is>
          <t>NOT RUN</t>
        </is>
      </c>
      <c r="I35" s="4" t="inlineStr"/>
      <c r="J35" s="4" t="inlineStr"/>
      <c r="K35" s="4" t="inlineStr">
        <is>
          <t>NO</t>
        </is>
      </c>
      <c r="L35" s="2" t="inlineStr"/>
    </row>
    <row r="36">
      <c r="A36" s="2" t="inlineStr">
        <is>
          <t>MT-035</t>
        </is>
      </c>
      <c r="B36" s="2" t="inlineStr">
        <is>
          <t>Session Manager</t>
        </is>
      </c>
      <c r="C36" s="2" t="inlineStr">
        <is>
          <t>P0</t>
        </is>
      </c>
      <c r="D36" s="2" t="inlineStr">
        <is>
          <t>Windows</t>
        </is>
      </c>
      <c r="E36" s="2" t="inlineStr">
        <is>
          <t>Manager open</t>
        </is>
      </c>
      <c r="F36" s="2" t="inlineStr">
        <is>
          <t>Exit normally and via Ctrl+C where applicable.</t>
        </is>
      </c>
      <c r="G36" s="2" t="inlineStr">
        <is>
          <t>Terminal is restored with no stuck alternate screen/cursor/input mode.</t>
        </is>
      </c>
      <c r="H36" s="3" t="inlineStr">
        <is>
          <t>NOT RUN</t>
        </is>
      </c>
      <c r="I36" s="4" t="inlineStr"/>
      <c r="J36" s="4" t="inlineStr"/>
      <c r="K36" s="4" t="inlineStr">
        <is>
          <t>NO</t>
        </is>
      </c>
      <c r="L36" s="2" t="inlineStr"/>
    </row>
    <row r="37">
      <c r="A37" s="2" t="inlineStr">
        <is>
          <t>MT-036</t>
        </is>
      </c>
      <c r="B37" s="2" t="inlineStr">
        <is>
          <t>Archive</t>
        </is>
      </c>
      <c r="C37" s="2" t="inlineStr">
        <is>
          <t>P0</t>
        </is>
      </c>
      <c r="D37" s="2" t="inlineStr">
        <is>
          <t>Windows</t>
        </is>
      </c>
      <c r="E37" s="2" t="inlineStr">
        <is>
          <t>Archive Disabled</t>
        </is>
      </c>
      <c r="F37" s="2" t="inlineStr">
        <is>
          <t>Enable Archive in Config but do not Save; inspect filesystem/hooks.</t>
        </is>
      </c>
      <c r="G37" s="2" t="inlineStr">
        <is>
          <t>No SQLite creation/migration or integration side effect occurs before explicit Save.</t>
        </is>
      </c>
      <c r="H37" s="3" t="inlineStr">
        <is>
          <t>NOT RUN</t>
        </is>
      </c>
      <c r="I37" s="4" t="inlineStr"/>
      <c r="J37" s="4" t="inlineStr"/>
      <c r="K37" s="4" t="inlineStr">
        <is>
          <t>NO</t>
        </is>
      </c>
      <c r="L37" s="2" t="inlineStr"/>
    </row>
    <row r="38">
      <c r="A38" s="2" t="inlineStr">
        <is>
          <t>MT-037</t>
        </is>
      </c>
      <c r="B38" s="2" t="inlineStr">
        <is>
          <t>Archive</t>
        </is>
      </c>
      <c r="C38" s="2" t="inlineStr">
        <is>
          <t>P0</t>
        </is>
      </c>
      <c r="D38" s="2" t="inlineStr">
        <is>
          <t>Windows</t>
        </is>
      </c>
      <c r="E38" s="2" t="inlineStr">
        <is>
          <t>Archive Disabled</t>
        </is>
      </c>
      <c r="F38" s="2" t="inlineStr">
        <is>
          <t>Enable Archive and explicitly Save.</t>
        </is>
      </c>
      <c r="G38" s="2" t="inlineStr">
        <is>
          <t>Monitor-owned hooks are installed/self-healed and Archive service starts/wakes; SQLite reaches healthy state.</t>
        </is>
      </c>
      <c r="H38" s="3" t="inlineStr">
        <is>
          <t>NOT RUN</t>
        </is>
      </c>
      <c r="I38" s="4" t="inlineStr"/>
      <c r="J38" s="4" t="inlineStr"/>
      <c r="K38" s="4" t="inlineStr">
        <is>
          <t>NO</t>
        </is>
      </c>
      <c r="L38" s="2" t="inlineStr"/>
    </row>
    <row r="39">
      <c r="A39" s="2" t="inlineStr">
        <is>
          <t>MT-038</t>
        </is>
      </c>
      <c r="B39" s="2" t="inlineStr">
        <is>
          <t>Archive</t>
        </is>
      </c>
      <c r="C39" s="2" t="inlineStr">
        <is>
          <t>P0</t>
        </is>
      </c>
      <c r="D39" s="2" t="inlineStr">
        <is>
          <t>Windows</t>
        </is>
      </c>
      <c r="E39" s="2" t="inlineStr">
        <is>
          <t>Existing unrelated Codex hooks</t>
        </is>
      </c>
      <c r="F39" s="2" t="inlineStr">
        <is>
          <t>Enable/repair Archive.</t>
        </is>
      </c>
      <c r="G39" s="2" t="inlineStr">
        <is>
          <t>Only Monitor-owned Archive hook path is touched; unrelated hooks remain intact.</t>
        </is>
      </c>
      <c r="H39" s="3" t="inlineStr">
        <is>
          <t>NOT RUN</t>
        </is>
      </c>
      <c r="I39" s="4" t="inlineStr"/>
      <c r="J39" s="4" t="inlineStr"/>
      <c r="K39" s="4" t="inlineStr">
        <is>
          <t>NO</t>
        </is>
      </c>
      <c r="L39" s="2" t="inlineStr"/>
    </row>
    <row r="40">
      <c r="A40" s="2" t="inlineStr">
        <is>
          <t>MT-039</t>
        </is>
      </c>
      <c r="B40" s="2" t="inlineStr">
        <is>
          <t>Archive</t>
        </is>
      </c>
      <c r="C40" s="2" t="inlineStr">
        <is>
          <t>P0</t>
        </is>
      </c>
      <c r="D40" s="2" t="inlineStr">
        <is>
          <t>Windows</t>
        </is>
      </c>
      <c r="E40" s="2" t="inlineStr">
        <is>
          <t>Archive enabled and healthy</t>
        </is>
      </c>
      <c r="F40" s="2" t="inlineStr">
        <is>
          <t>Run Codex sessions; inspect Manager/doctor Archive health.</t>
        </is>
      </c>
      <c r="G40" s="2" t="inlineStr">
        <is>
          <t>JSONL changes reconcile into local SQLite and status becomes healthy without exposing raw session content in diagnostics.</t>
        </is>
      </c>
      <c r="H40" s="3" t="inlineStr">
        <is>
          <t>NOT RUN</t>
        </is>
      </c>
      <c r="I40" s="4" t="inlineStr"/>
      <c r="J40" s="4" t="inlineStr"/>
      <c r="K40" s="4" t="inlineStr">
        <is>
          <t>NO</t>
        </is>
      </c>
      <c r="L40" s="2" t="inlineStr"/>
    </row>
    <row r="41">
      <c r="A41" s="2" t="inlineStr">
        <is>
          <t>MT-040</t>
        </is>
      </c>
      <c r="B41" s="2" t="inlineStr">
        <is>
          <t>Archive</t>
        </is>
      </c>
      <c r="C41" s="2" t="inlineStr">
        <is>
          <t>P1</t>
        </is>
      </c>
      <c r="D41" s="2" t="inlineStr">
        <is>
          <t>Windows</t>
        </is>
      </c>
      <c r="E41" s="2" t="inlineStr">
        <is>
          <t>Archive enabled</t>
        </is>
      </c>
      <c r="F41" s="2" t="inlineStr">
        <is>
          <t>Simulate a missed hook wake signal, then allow reconcile/service wake.</t>
        </is>
      </c>
      <c r="G41" s="2" t="inlineStr">
        <is>
          <t>Archive catches up from JSONL/committed offsets without data loss or duplication.</t>
        </is>
      </c>
      <c r="H41" s="3" t="inlineStr">
        <is>
          <t>NOT RUN</t>
        </is>
      </c>
      <c r="I41" s="4" t="inlineStr"/>
      <c r="J41" s="4" t="inlineStr"/>
      <c r="K41" s="4" t="inlineStr">
        <is>
          <t>NO</t>
        </is>
      </c>
      <c r="L41" s="2" t="inlineStr"/>
    </row>
    <row r="42">
      <c r="A42" s="2" t="inlineStr">
        <is>
          <t>MT-041</t>
        </is>
      </c>
      <c r="B42" s="2" t="inlineStr">
        <is>
          <t>Archive</t>
        </is>
      </c>
      <c r="C42" s="2" t="inlineStr">
        <is>
          <t>P1</t>
        </is>
      </c>
      <c r="D42" s="2" t="inlineStr">
        <is>
          <t>Windows</t>
        </is>
      </c>
      <c r="E42" s="2" t="inlineStr">
        <is>
          <t>Archive enabled</t>
        </is>
      </c>
      <c r="F42" s="2" t="inlineStr">
        <is>
          <t>Simulate missed filesystem watcher notification, then trigger normal reconcile.</t>
        </is>
      </c>
      <c r="G42" s="2" t="inlineStr">
        <is>
          <t>Archive catches up correctly; watcher is not the correctness mechanism.</t>
        </is>
      </c>
      <c r="H42" s="3" t="inlineStr">
        <is>
          <t>NOT RUN</t>
        </is>
      </c>
      <c r="I42" s="4" t="inlineStr"/>
      <c r="J42" s="4" t="inlineStr"/>
      <c r="K42" s="4" t="inlineStr">
        <is>
          <t>NO</t>
        </is>
      </c>
      <c r="L42" s="2" t="inlineStr"/>
    </row>
    <row r="43">
      <c r="A43" s="2" t="inlineStr">
        <is>
          <t>MT-042</t>
        </is>
      </c>
      <c r="B43" s="2" t="inlineStr">
        <is>
          <t>Archive</t>
        </is>
      </c>
      <c r="C43" s="2" t="inlineStr">
        <is>
          <t>P1</t>
        </is>
      </c>
      <c r="D43" s="2" t="inlineStr">
        <is>
          <t>Windows</t>
        </is>
      </c>
      <c r="E43" s="2" t="inlineStr">
        <is>
          <t>Archive service running with pending JSONL changes</t>
        </is>
      </c>
      <c r="F43" s="2" t="inlineStr">
        <is>
          <t>Stop/crash service, append activity, restart/wake service.</t>
        </is>
      </c>
      <c r="G43" s="2" t="inlineStr">
        <is>
          <t>Service resumes from committed offsets and catches up safely.</t>
        </is>
      </c>
      <c r="H43" s="3" t="inlineStr">
        <is>
          <t>NOT RUN</t>
        </is>
      </c>
      <c r="I43" s="4" t="inlineStr"/>
      <c r="J43" s="4" t="inlineStr"/>
      <c r="K43" s="4" t="inlineStr">
        <is>
          <t>NO</t>
        </is>
      </c>
      <c r="L43" s="2" t="inlineStr"/>
    </row>
    <row r="44">
      <c r="A44" s="2" t="inlineStr">
        <is>
          <t>MT-043</t>
        </is>
      </c>
      <c r="B44" s="2" t="inlineStr">
        <is>
          <t>Archive</t>
        </is>
      </c>
      <c r="C44" s="2" t="inlineStr">
        <is>
          <t>P0</t>
        </is>
      </c>
      <c r="D44" s="2" t="inlineStr">
        <is>
          <t>Windows</t>
        </is>
      </c>
      <c r="E44" s="2" t="inlineStr">
        <is>
          <t>Archive enabled</t>
        </is>
      </c>
      <c r="F44" s="2" t="inlineStr">
        <is>
          <t>Append a partial/malformed JSONL line, reconcile, then complete it and reconcile again.</t>
        </is>
      </c>
      <c r="G44" s="2" t="inlineStr">
        <is>
          <t>Committed offset never advances past incomplete data; completed record is later ingested once.</t>
        </is>
      </c>
      <c r="H44" s="3" t="inlineStr">
        <is>
          <t>NOT RUN</t>
        </is>
      </c>
      <c r="I44" s="4" t="inlineStr"/>
      <c r="J44" s="4" t="inlineStr"/>
      <c r="K44" s="4" t="inlineStr">
        <is>
          <t>NO</t>
        </is>
      </c>
      <c r="L44" s="2" t="inlineStr"/>
    </row>
    <row r="45">
      <c r="A45" s="2" t="inlineStr">
        <is>
          <t>MT-044</t>
        </is>
      </c>
      <c r="B45" s="2" t="inlineStr">
        <is>
          <t>Archive</t>
        </is>
      </c>
      <c r="C45" s="2" t="inlineStr">
        <is>
          <t>P0</t>
        </is>
      </c>
      <c r="D45" s="2" t="inlineStr">
        <is>
          <t>Windows</t>
        </is>
      </c>
      <c r="E45" s="2" t="inlineStr">
        <is>
          <t>Session exists in raw JSONL and Archive</t>
        </is>
      </c>
      <c r="F45" s="2" t="inlineStr">
        <is>
          <t>Delete raw session using supported Manager storage flow.</t>
        </is>
      </c>
      <c r="G45" s="2" t="inlineStr">
        <is>
          <t>Archived analytics may remain as ARCHIVED; deletion boundary is clearly reported.</t>
        </is>
      </c>
      <c r="H45" s="3" t="inlineStr">
        <is>
          <t>NOT RUN</t>
        </is>
      </c>
      <c r="I45" s="4" t="inlineStr"/>
      <c r="J45" s="4" t="inlineStr"/>
      <c r="K45" s="4" t="inlineStr">
        <is>
          <t>NO</t>
        </is>
      </c>
      <c r="L45" s="2" t="inlineStr"/>
    </row>
    <row r="46">
      <c r="A46" s="2" t="inlineStr">
        <is>
          <t>MT-045</t>
        </is>
      </c>
      <c r="B46" s="2" t="inlineStr">
        <is>
          <t>Archive</t>
        </is>
      </c>
      <c r="C46" s="2" t="inlineStr">
        <is>
          <t>P0</t>
        </is>
      </c>
      <c r="D46" s="2" t="inlineStr">
        <is>
          <t>Windows</t>
        </is>
      </c>
      <c r="E46" s="2" t="inlineStr">
        <is>
          <t>Session exists in raw JSONL and Archive</t>
        </is>
      </c>
      <c r="F46" s="2" t="inlineStr">
        <is>
          <t>Delete Archive-side data using supported Archive action.</t>
        </is>
      </c>
      <c r="G46" s="2" t="inlineStr">
        <is>
          <t>Raw Codex JSONL is not deleted.</t>
        </is>
      </c>
      <c r="H46" s="3" t="inlineStr">
        <is>
          <t>NOT RUN</t>
        </is>
      </c>
      <c r="I46" s="4" t="inlineStr"/>
      <c r="J46" s="4" t="inlineStr"/>
      <c r="K46" s="4" t="inlineStr">
        <is>
          <t>NO</t>
        </is>
      </c>
      <c r="L46" s="2" t="inlineStr"/>
    </row>
    <row r="47">
      <c r="A47" s="2" t="inlineStr">
        <is>
          <t>MT-046</t>
        </is>
      </c>
      <c r="B47" s="2" t="inlineStr">
        <is>
          <t>Archive</t>
        </is>
      </c>
      <c r="C47" s="2" t="inlineStr">
        <is>
          <t>P1</t>
        </is>
      </c>
      <c r="D47" s="2" t="inlineStr">
        <is>
          <t>Windows</t>
        </is>
      </c>
      <c r="E47" s="2" t="inlineStr">
        <is>
          <t>Archive has data</t>
        </is>
      </c>
      <c r="F47" s="2" t="inlineStr">
        <is>
          <t>Run Compact Archive action.</t>
        </is>
      </c>
      <c r="G47" s="2" t="inlineStr">
        <is>
          <t>Compaction succeeds safely or reports failure without corrupting DB.</t>
        </is>
      </c>
      <c r="H47" s="3" t="inlineStr">
        <is>
          <t>NOT RUN</t>
        </is>
      </c>
      <c r="I47" s="4" t="inlineStr"/>
      <c r="J47" s="4" t="inlineStr"/>
      <c r="K47" s="4" t="inlineStr">
        <is>
          <t>NO</t>
        </is>
      </c>
      <c r="L47" s="2" t="inlineStr"/>
    </row>
    <row r="48">
      <c r="A48" s="2" t="inlineStr">
        <is>
          <t>MT-047</t>
        </is>
      </c>
      <c r="B48" s="2" t="inlineStr">
        <is>
          <t>Archive</t>
        </is>
      </c>
      <c r="C48" s="2" t="inlineStr">
        <is>
          <t>P0</t>
        </is>
      </c>
      <c r="D48" s="2" t="inlineStr">
        <is>
          <t>Windows</t>
        </is>
      </c>
      <c r="E48" s="2" t="inlineStr">
        <is>
          <t>Archive enabled</t>
        </is>
      </c>
      <c r="F48" s="2" t="inlineStr">
        <is>
          <t>Disable Archive and Save. Then launch codexm/codexmm.</t>
        </is>
      </c>
      <c r="G48" s="2" t="inlineStr">
        <is>
          <t>Monitor-owned background integration stops/is removed as designed; DB retained; disabled launch causes zero Archive service-start activity.</t>
        </is>
      </c>
      <c r="H48" s="3" t="inlineStr">
        <is>
          <t>NOT RUN</t>
        </is>
      </c>
      <c r="I48" s="4" t="inlineStr"/>
      <c r="J48" s="4" t="inlineStr"/>
      <c r="K48" s="4" t="inlineStr">
        <is>
          <t>NO</t>
        </is>
      </c>
      <c r="L48" s="2" t="inlineStr"/>
    </row>
    <row r="49">
      <c r="A49" s="2" t="inlineStr">
        <is>
          <t>MT-048</t>
        </is>
      </c>
      <c r="B49" s="2" t="inlineStr">
        <is>
          <t>Product controls</t>
        </is>
      </c>
      <c r="C49" s="2" t="inlineStr">
        <is>
          <t>P0</t>
        </is>
      </c>
      <c r="D49" s="2" t="inlineStr">
        <is>
          <t>Windows</t>
        </is>
      </c>
      <c r="E49" s="2" t="inlineStr">
        <is>
          <t>Installed Monitor</t>
        </is>
      </c>
      <c r="F49" s="2" t="inlineStr">
        <is>
          <t>Run codexmctl doctor.</t>
        </is>
      </c>
      <c r="G49" s="2" t="inlineStr">
        <is>
          <t>Diagnostics are useful and sanitized; no raw session content/auth secrets are printed.</t>
        </is>
      </c>
      <c r="H49" s="3" t="inlineStr">
        <is>
          <t>NOT RUN</t>
        </is>
      </c>
      <c r="I49" s="4" t="inlineStr"/>
      <c r="J49" s="4" t="inlineStr"/>
      <c r="K49" s="4" t="inlineStr">
        <is>
          <t>NO</t>
        </is>
      </c>
      <c r="L49" s="2" t="inlineStr"/>
    </row>
    <row r="50">
      <c r="A50" s="2" t="inlineStr">
        <is>
          <t>MT-049</t>
        </is>
      </c>
      <c r="B50" s="2" t="inlineStr">
        <is>
          <t>Product controls</t>
        </is>
      </c>
      <c r="C50" s="2" t="inlineStr">
        <is>
          <t>P1</t>
        </is>
      </c>
      <c r="D50" s="2" t="inlineStr">
        <is>
          <t>Windows</t>
        </is>
      </c>
      <c r="E50" s="2" t="inlineStr">
        <is>
          <t>Installed Monitor</t>
        </is>
      </c>
      <c r="F50" s="2" t="inlineStr">
        <is>
          <t>Run codexmctl diagnostics.</t>
        </is>
      </c>
      <c r="G50" s="2" t="inlineStr">
        <is>
          <t>Alias behavior matches doctor.</t>
        </is>
      </c>
      <c r="H50" s="3" t="inlineStr">
        <is>
          <t>NOT RUN</t>
        </is>
      </c>
      <c r="I50" s="4" t="inlineStr"/>
      <c r="J50" s="4" t="inlineStr"/>
      <c r="K50" s="4" t="inlineStr">
        <is>
          <t>NO</t>
        </is>
      </c>
      <c r="L50" s="2" t="inlineStr"/>
    </row>
    <row r="51">
      <c r="A51" s="2" t="inlineStr">
        <is>
          <t>MT-050</t>
        </is>
      </c>
      <c r="B51" s="2" t="inlineStr">
        <is>
          <t>Product controls</t>
        </is>
      </c>
      <c r="C51" s="2" t="inlineStr">
        <is>
          <t>P0</t>
        </is>
      </c>
      <c r="D51" s="2" t="inlineStr">
        <is>
          <t>Windows</t>
        </is>
      </c>
      <c r="E51" s="2" t="inlineStr">
        <is>
          <t>Archive Disabled</t>
        </is>
      </c>
      <c r="F51" s="2" t="inlineStr">
        <is>
          <t>Run codexmctl repair.</t>
        </is>
      </c>
      <c r="G51" s="2" t="inlineStr">
        <is>
          <t>Repair is a no-op for Archive and does not install/wake Archive integration.</t>
        </is>
      </c>
      <c r="H51" s="3" t="inlineStr">
        <is>
          <t>NOT RUN</t>
        </is>
      </c>
      <c r="I51" s="4" t="inlineStr"/>
      <c r="J51" s="4" t="inlineStr"/>
      <c r="K51" s="4" t="inlineStr">
        <is>
          <t>NO</t>
        </is>
      </c>
      <c r="L51" s="2" t="inlineStr"/>
    </row>
    <row r="52">
      <c r="A52" s="2" t="inlineStr">
        <is>
          <t>MT-051</t>
        </is>
      </c>
      <c r="B52" s="2" t="inlineStr">
        <is>
          <t>Product controls</t>
        </is>
      </c>
      <c r="C52" s="2" t="inlineStr">
        <is>
          <t>P0</t>
        </is>
      </c>
      <c r="D52" s="2" t="inlineStr">
        <is>
          <t>Windows</t>
        </is>
      </c>
      <c r="E52" s="2" t="inlineStr">
        <is>
          <t>Archive enabled; damage/remove Monitor-owned hook</t>
        </is>
      </c>
      <c r="F52" s="2" t="inlineStr">
        <is>
          <t>Run codexmctl repair.</t>
        </is>
      </c>
      <c r="G52" s="2" t="inlineStr">
        <is>
          <t>Only Monitor-owned hook is repaired and reconcile/service is woken; unrelated hooks untouched.</t>
        </is>
      </c>
      <c r="H52" s="3" t="inlineStr">
        <is>
          <t>NOT RUN</t>
        </is>
      </c>
      <c r="I52" s="4" t="inlineStr"/>
      <c r="J52" s="4" t="inlineStr"/>
      <c r="K52" s="4" t="inlineStr">
        <is>
          <t>NO</t>
        </is>
      </c>
      <c r="L52" s="2" t="inlineStr"/>
    </row>
    <row r="53">
      <c r="A53" s="2" t="inlineStr">
        <is>
          <t>MT-052</t>
        </is>
      </c>
      <c r="B53" s="2" t="inlineStr">
        <is>
          <t>Product controls</t>
        </is>
      </c>
      <c r="C53" s="2" t="inlineStr">
        <is>
          <t>P1</t>
        </is>
      </c>
      <c r="D53" s="2" t="inlineStr">
        <is>
          <t>Windows</t>
        </is>
      </c>
      <c r="E53" s="2" t="inlineStr">
        <is>
          <t>Internet available</t>
        </is>
      </c>
      <c r="F53" s="2" t="inlineStr">
        <is>
          <t>Run codexmctl update.</t>
        </is>
      </c>
      <c r="G53" s="2" t="inlineStr">
        <is>
          <t>Checks for newer Monitor version but never auto-installs it.</t>
        </is>
      </c>
      <c r="H53" s="3" t="inlineStr">
        <is>
          <t>NOT RUN</t>
        </is>
      </c>
      <c r="I53" s="4" t="inlineStr"/>
      <c r="J53" s="4" t="inlineStr"/>
      <c r="K53" s="4" t="inlineStr">
        <is>
          <t>NO</t>
        </is>
      </c>
      <c r="L53" s="2" t="inlineStr"/>
    </row>
    <row r="54">
      <c r="A54" s="2" t="inlineStr">
        <is>
          <t>MT-053</t>
        </is>
      </c>
      <c r="B54" s="2" t="inlineStr">
        <is>
          <t>Product controls</t>
        </is>
      </c>
      <c r="C54" s="2" t="inlineStr">
        <is>
          <t>P1</t>
        </is>
      </c>
      <c r="D54" s="2" t="inlineStr">
        <is>
          <t>Windows</t>
        </is>
      </c>
      <c r="E54" s="2" t="inlineStr">
        <is>
          <t>Network unavailable</t>
        </is>
      </c>
      <c r="F54" s="2" t="inlineStr">
        <is>
          <t>Run codexmctl update and normal codexm afterward.</t>
        </is>
      </c>
      <c r="G54" s="2" t="inlineStr">
        <is>
          <t>Update failure is non-blocking and normal product operation remains usable.</t>
        </is>
      </c>
      <c r="H54" s="3" t="inlineStr">
        <is>
          <t>NOT RUN</t>
        </is>
      </c>
      <c r="I54" s="4" t="inlineStr"/>
      <c r="J54" s="4" t="inlineStr"/>
      <c r="K54" s="4" t="inlineStr">
        <is>
          <t>NO</t>
        </is>
      </c>
      <c r="L54" s="2" t="inlineStr"/>
    </row>
    <row r="55">
      <c r="A55" s="2" t="inlineStr">
        <is>
          <t>MT-054</t>
        </is>
      </c>
      <c r="B55" s="2" t="inlineStr">
        <is>
          <t>Product controls</t>
        </is>
      </c>
      <c r="C55" s="2" t="inlineStr">
        <is>
          <t>P1</t>
        </is>
      </c>
      <c r="D55" s="2" t="inlineStr">
        <is>
          <t>Windows</t>
        </is>
      </c>
      <c r="E55" s="2" t="inlineStr">
        <is>
          <t>Background update checks enabled then disabled</t>
        </is>
      </c>
      <c r="F55" s="2" t="inlineStr">
        <is>
          <t>Launch product repeatedly inside/outside throttle interval.</t>
        </is>
      </c>
      <c r="G55" s="2" t="inlineStr">
        <is>
          <t>Checks are throttled and Config can disable background checks.</t>
        </is>
      </c>
      <c r="H55" s="3" t="inlineStr">
        <is>
          <t>NOT RUN</t>
        </is>
      </c>
      <c r="I55" s="4" t="inlineStr"/>
      <c r="J55" s="4" t="inlineStr"/>
      <c r="K55" s="4" t="inlineStr">
        <is>
          <t>NO</t>
        </is>
      </c>
      <c r="L55" s="2" t="inlineStr"/>
    </row>
    <row r="56">
      <c r="A56" s="2" t="inlineStr">
        <is>
          <t>MT-055</t>
        </is>
      </c>
      <c r="B56" s="2" t="inlineStr">
        <is>
          <t>Product controls</t>
        </is>
      </c>
      <c r="C56" s="2" t="inlineStr">
        <is>
          <t>P0</t>
        </is>
      </c>
      <c r="D56" s="2" t="inlineStr">
        <is>
          <t>Windows</t>
        </is>
      </c>
      <c r="E56" s="2" t="inlineStr">
        <is>
          <t>Installed Monitor</t>
        </is>
      </c>
      <c r="F56" s="2" t="inlineStr">
        <is>
          <t>Run codexmctl version, config and config-path.</t>
        </is>
      </c>
      <c r="G56" s="2" t="inlineStr">
        <is>
          <t>Commands return expected product/config information without prompting unexpectedly.</t>
        </is>
      </c>
      <c r="H56" s="3" t="inlineStr">
        <is>
          <t>NOT RUN</t>
        </is>
      </c>
      <c r="I56" s="4" t="inlineStr"/>
      <c r="J56" s="4" t="inlineStr"/>
      <c r="K56" s="4" t="inlineStr">
        <is>
          <t>NO</t>
        </is>
      </c>
      <c r="L56" s="2" t="inlineStr"/>
    </row>
    <row r="57">
      <c r="A57" s="2" t="inlineStr">
        <is>
          <t>MT-056</t>
        </is>
      </c>
      <c r="B57" s="2" t="inlineStr">
        <is>
          <t>Product controls</t>
        </is>
      </c>
      <c r="C57" s="2" t="inlineStr">
        <is>
          <t>P0</t>
        </is>
      </c>
      <c r="D57" s="2" t="inlineStr">
        <is>
          <t>Windows</t>
        </is>
      </c>
      <c r="E57" s="2" t="inlineStr">
        <is>
          <t>Installed Monitor</t>
        </is>
      </c>
      <c r="F57" s="2" t="inlineStr">
        <is>
          <t>Try codexmctl install and codexmctl uninstall.</t>
        </is>
      </c>
      <c r="G57" s="2" t="inlineStr">
        <is>
          <t>Both are rejected as unknown control commands; install/uninstall remain external scripts only.</t>
        </is>
      </c>
      <c r="H57" s="3" t="inlineStr">
        <is>
          <t>NOT RUN</t>
        </is>
      </c>
      <c r="I57" s="4" t="inlineStr"/>
      <c r="J57" s="4" t="inlineStr"/>
      <c r="K57" s="4" t="inlineStr">
        <is>
          <t>NO</t>
        </is>
      </c>
      <c r="L57" s="2" t="inlineStr"/>
    </row>
    <row r="58">
      <c r="A58" s="2" t="inlineStr">
        <is>
          <t>MT-057</t>
        </is>
      </c>
      <c r="B58" s="2" t="inlineStr">
        <is>
          <t>Storage safety</t>
        </is>
      </c>
      <c r="C58" s="2" t="inlineStr">
        <is>
          <t>P0</t>
        </is>
      </c>
      <c r="D58" s="2" t="inlineStr">
        <is>
          <t>Windows</t>
        </is>
      </c>
      <c r="E58" s="2" t="inlineStr">
        <is>
          <t>Manager has multiple sessions</t>
        </is>
      </c>
      <c r="F58" s="2" t="inlineStr">
        <is>
          <t>Delete one selected raw session using supported UI and inspect filesystem.</t>
        </is>
      </c>
      <c r="G58" s="2" t="inlineStr">
        <is>
          <t>Only intended session data is removed; other sessions/auth/config remain intact; result is clearly reported.</t>
        </is>
      </c>
      <c r="H58" s="3" t="inlineStr">
        <is>
          <t>NOT RUN</t>
        </is>
      </c>
      <c r="I58" s="4" t="inlineStr"/>
      <c r="J58" s="4" t="inlineStr"/>
      <c r="K58" s="4" t="inlineStr">
        <is>
          <t>NO</t>
        </is>
      </c>
      <c r="L58" s="2" t="inlineStr"/>
    </row>
    <row r="59">
      <c r="A59" s="2" t="inlineStr">
        <is>
          <t>MT-058</t>
        </is>
      </c>
      <c r="B59" s="2" t="inlineStr">
        <is>
          <t>Storage safety</t>
        </is>
      </c>
      <c r="C59" s="2" t="inlineStr">
        <is>
          <t>P0</t>
        </is>
      </c>
      <c r="D59" s="2" t="inlineStr">
        <is>
          <t>Windows</t>
        </is>
      </c>
      <c r="E59" s="2" t="inlineStr">
        <is>
          <t>Create a condition where one deletion step fails</t>
        </is>
      </c>
      <c r="F59" s="2" t="inlineStr">
        <is>
          <t>Perform supported delete/cleanup operation.</t>
        </is>
      </c>
      <c r="G59" s="2" t="inlineStr">
        <is>
          <t>Partial failure is reported explicitly; product does not claim full success.</t>
        </is>
      </c>
      <c r="H59" s="3" t="inlineStr">
        <is>
          <t>NOT RUN</t>
        </is>
      </c>
      <c r="I59" s="4" t="inlineStr"/>
      <c r="J59" s="4" t="inlineStr"/>
      <c r="K59" s="4" t="inlineStr">
        <is>
          <t>NO</t>
        </is>
      </c>
      <c r="L59" s="2" t="inlineStr"/>
    </row>
    <row r="60">
      <c r="A60" s="2" t="inlineStr">
        <is>
          <t>MT-059</t>
        </is>
      </c>
      <c r="B60" s="2" t="inlineStr">
        <is>
          <t>Storage safety</t>
        </is>
      </c>
      <c r="C60" s="2" t="inlineStr">
        <is>
          <t>P1</t>
        </is>
      </c>
      <c r="D60" s="2" t="inlineStr">
        <is>
          <t>Windows</t>
        </is>
      </c>
      <c r="E60" s="2" t="inlineStr">
        <is>
          <t>Archive DB/config present</t>
        </is>
      </c>
      <c r="F60" s="2" t="inlineStr">
        <is>
          <t>Run reset/config changes and normal Manager operations.</t>
        </is>
      </c>
      <c r="G60" s="2" t="inlineStr">
        <is>
          <t>No operation outside explicit storage controls deletes Archive DB or Codex-owned session/auth data.</t>
        </is>
      </c>
      <c r="H60" s="3" t="inlineStr">
        <is>
          <t>NOT RUN</t>
        </is>
      </c>
      <c r="I60" s="4" t="inlineStr"/>
      <c r="J60" s="4" t="inlineStr"/>
      <c r="K60" s="4" t="inlineStr">
        <is>
          <t>NO</t>
        </is>
      </c>
      <c r="L60" s="2" t="inlineStr"/>
    </row>
    <row r="61">
      <c r="A61" s="2" t="inlineStr">
        <is>
          <t>MT-060</t>
        </is>
      </c>
      <c r="B61" s="2" t="inlineStr">
        <is>
          <t>Upgrade / migration</t>
        </is>
      </c>
      <c r="C61" s="2" t="inlineStr">
        <is>
          <t>P0</t>
        </is>
      </c>
      <c r="D61" s="2" t="inlineStr">
        <is>
          <t>Windows</t>
        </is>
      </c>
      <c r="E61" s="2" t="inlineStr">
        <is>
          <t>Old supported Monitor config</t>
        </is>
      </c>
      <c r="F61" s="2" t="inlineStr">
        <is>
          <t>Install/run current branch and open product.</t>
        </is>
      </c>
      <c r="G61" s="2" t="inlineStr">
        <is>
          <t>Config migrates effectively without forced onboarding and Archive is not auto-enabled.</t>
        </is>
      </c>
      <c r="H61" s="3" t="inlineStr">
        <is>
          <t>NOT RUN</t>
        </is>
      </c>
      <c r="I61" s="4" t="inlineStr"/>
      <c r="J61" s="4" t="inlineStr"/>
      <c r="K61" s="4" t="inlineStr">
        <is>
          <t>NO</t>
        </is>
      </c>
      <c r="L61" s="2" t="inlineStr"/>
    </row>
    <row r="62">
      <c r="A62" s="2" t="inlineStr">
        <is>
          <t>MT-061</t>
        </is>
      </c>
      <c r="B62" s="2" t="inlineStr">
        <is>
          <t>Upgrade / migration</t>
        </is>
      </c>
      <c r="C62" s="2" t="inlineStr">
        <is>
          <t>P0</t>
        </is>
      </c>
      <c r="D62" s="2" t="inlineStr">
        <is>
          <t>Windows</t>
        </is>
      </c>
      <c r="E62" s="2" t="inlineStr">
        <is>
          <t>Old Archive DB schema fixture/backup</t>
        </is>
      </c>
      <c r="F62" s="2" t="inlineStr">
        <is>
          <t>Enable/open Archive with current build.</t>
        </is>
      </c>
      <c r="G62" s="2" t="inlineStr">
        <is>
          <t>Schema migration is transaction-safe and data remains readable.</t>
        </is>
      </c>
      <c r="H62" s="3" t="inlineStr">
        <is>
          <t>NOT RUN</t>
        </is>
      </c>
      <c r="I62" s="4" t="inlineStr"/>
      <c r="J62" s="4" t="inlineStr"/>
      <c r="K62" s="4" t="inlineStr">
        <is>
          <t>NO</t>
        </is>
      </c>
      <c r="L62" s="2" t="inlineStr"/>
    </row>
    <row r="63">
      <c r="A63" s="2" t="inlineStr">
        <is>
          <t>MT-062</t>
        </is>
      </c>
      <c r="B63" s="2" t="inlineStr">
        <is>
          <t>Upgrade / migration</t>
        </is>
      </c>
      <c r="C63" s="2" t="inlineStr">
        <is>
          <t>P0</t>
        </is>
      </c>
      <c r="D63" s="2" t="inlineStr">
        <is>
          <t>Windows</t>
        </is>
      </c>
      <c r="E63" s="2" t="inlineStr">
        <is>
          <t>Arrange Archive migration failure safely on test copy</t>
        </is>
      </c>
      <c r="F63" s="2" t="inlineStr">
        <is>
          <t>Launch codexm after failure.</t>
        </is>
      </c>
      <c r="G63" s="2" t="inlineStr">
        <is>
          <t>Archive failure does not prevent Live Monitor/official Codex from being usable.</t>
        </is>
      </c>
      <c r="H63" s="3" t="inlineStr">
        <is>
          <t>NOT RUN</t>
        </is>
      </c>
      <c r="I63" s="4" t="inlineStr"/>
      <c r="J63" s="4" t="inlineStr"/>
      <c r="K63" s="4" t="inlineStr">
        <is>
          <t>NO</t>
        </is>
      </c>
      <c r="L63" s="2" t="inlineStr"/>
    </row>
    <row r="64">
      <c r="A64" s="2" t="inlineStr">
        <is>
          <t>MT-063</t>
        </is>
      </c>
      <c r="B64" s="2" t="inlineStr">
        <is>
          <t>Upgrade / migration</t>
        </is>
      </c>
      <c r="C64" s="2" t="inlineStr">
        <is>
          <t>P1</t>
        </is>
      </c>
      <c r="D64" s="2" t="inlineStr">
        <is>
          <t>Windows</t>
        </is>
      </c>
      <c r="E64" s="2" t="inlineStr">
        <is>
          <t>Archive-only historical analytics exist</t>
        </is>
      </c>
      <c r="F64" s="2" t="inlineStr">
        <is>
          <t>Upgrade Monitor.</t>
        </is>
      </c>
      <c r="G64" s="2" t="inlineStr">
        <is>
          <t>Supported upgrade preserves Archive-only history.</t>
        </is>
      </c>
      <c r="H64" s="3" t="inlineStr">
        <is>
          <t>NOT RUN</t>
        </is>
      </c>
      <c r="I64" s="4" t="inlineStr"/>
      <c r="J64" s="4" t="inlineStr"/>
      <c r="K64" s="4" t="inlineStr">
        <is>
          <t>NO</t>
        </is>
      </c>
      <c r="L64" s="2" t="inlineStr"/>
    </row>
    <row r="65">
      <c r="A65" s="2" t="inlineStr">
        <is>
          <t>MT-064</t>
        </is>
      </c>
      <c r="B65" s="2" t="inlineStr">
        <is>
          <t>Uninstall</t>
        </is>
      </c>
      <c r="C65" s="2" t="inlineStr">
        <is>
          <t>P0</t>
        </is>
      </c>
      <c r="D65" s="2" t="inlineStr">
        <is>
          <t>Windows</t>
        </is>
      </c>
      <c r="E65" s="2" t="inlineStr">
        <is>
          <t>Monitor installed; Node/npm/Codex pre-existing; config/Archive DB present</t>
        </is>
      </c>
      <c r="F65" s="2" t="inlineStr">
        <is>
          <t>Run external root uninstall.ps1.</t>
        </is>
      </c>
      <c r="G65" s="2" t="inlineStr">
        <is>
          <t>Monitor-owned integration, global registration/link, owned shims and recognized app source are removed.</t>
        </is>
      </c>
      <c r="H65" s="3" t="inlineStr">
        <is>
          <t>NOT RUN</t>
        </is>
      </c>
      <c r="I65" s="4" t="inlineStr"/>
      <c r="J65" s="4" t="inlineStr"/>
      <c r="K65" s="4" t="inlineStr">
        <is>
          <t>NO</t>
        </is>
      </c>
      <c r="L65" s="2" t="inlineStr"/>
    </row>
    <row r="66">
      <c r="A66" s="2" t="inlineStr">
        <is>
          <t>MT-065</t>
        </is>
      </c>
      <c r="B66" s="2" t="inlineStr">
        <is>
          <t>Uninstall</t>
        </is>
      </c>
      <c r="C66" s="2" t="inlineStr">
        <is>
          <t>P0</t>
        </is>
      </c>
      <c r="D66" s="2" t="inlineStr">
        <is>
          <t>Windows</t>
        </is>
      </c>
      <c r="E66" s="2" t="inlineStr">
        <is>
          <t>Same as above</t>
        </is>
      </c>
      <c r="F66" s="2" t="inlineStr">
        <is>
          <t>After uninstall, verify node, npm, codex, Codex auth/sessions, Monitor config and Archive SQLite.</t>
        </is>
      </c>
      <c r="G66" s="2" t="inlineStr">
        <is>
          <t>Shared Node/npm and official Codex remain; user data/config/Archive DB remain.</t>
        </is>
      </c>
      <c r="H66" s="3" t="inlineStr">
        <is>
          <t>NOT RUN</t>
        </is>
      </c>
      <c r="I66" s="4" t="inlineStr"/>
      <c r="J66" s="4" t="inlineStr"/>
      <c r="K66" s="4" t="inlineStr">
        <is>
          <t>NO</t>
        </is>
      </c>
      <c r="L66" s="2" t="inlineStr"/>
    </row>
    <row r="67">
      <c r="A67" s="2" t="inlineStr">
        <is>
          <t>MT-066</t>
        </is>
      </c>
      <c r="B67" s="2" t="inlineStr">
        <is>
          <t>Uninstall</t>
        </is>
      </c>
      <c r="C67" s="2" t="inlineStr">
        <is>
          <t>P0</t>
        </is>
      </c>
      <c r="D67" s="2" t="inlineStr">
        <is>
          <t>Windows</t>
        </is>
      </c>
      <c r="E67" s="2" t="inlineStr">
        <is>
          <t>Installer originally installed Node/npm because both were absent</t>
        </is>
      </c>
      <c r="F67" s="2" t="inlineStr">
        <is>
          <t>Run uninstall.ps1 after installing another Node-dependent tool if practical.</t>
        </is>
      </c>
      <c r="G67" s="2" t="inlineStr">
        <is>
          <t>Uninstaller deliberately leaves Node/npm installed.</t>
        </is>
      </c>
      <c r="H67" s="3" t="inlineStr">
        <is>
          <t>NOT RUN</t>
        </is>
      </c>
      <c r="I67" s="4" t="inlineStr"/>
      <c r="J67" s="4" t="inlineStr"/>
      <c r="K67" s="4" t="inlineStr">
        <is>
          <t>NO</t>
        </is>
      </c>
      <c r="L67" s="2" t="inlineStr"/>
    </row>
    <row r="68">
      <c r="A68" s="2" t="inlineStr">
        <is>
          <t>MT-067</t>
        </is>
      </c>
      <c r="B68" s="2" t="inlineStr">
        <is>
          <t>Uninstall</t>
        </is>
      </c>
      <c r="C68" s="2" t="inlineStr">
        <is>
          <t>P0</t>
        </is>
      </c>
      <c r="D68" s="2" t="inlineStr">
        <is>
          <t>Windows</t>
        </is>
      </c>
      <c r="E68" s="2" t="inlineStr">
        <is>
          <t>A command shim with same name is deliberately unrecognized/not Monitor-owned</t>
        </is>
      </c>
      <c r="F68" s="2" t="inlineStr">
        <is>
          <t>Run uninstall.ps1.</t>
        </is>
      </c>
      <c r="G68" s="2" t="inlineStr">
        <is>
          <t>Uninstaller refuses to remove unrecognized shim/command ownership.</t>
        </is>
      </c>
      <c r="H68" s="3" t="inlineStr">
        <is>
          <t>NOT RUN</t>
        </is>
      </c>
      <c r="I68" s="4" t="inlineStr"/>
      <c r="J68" s="4" t="inlineStr"/>
      <c r="K68" s="4" t="inlineStr">
        <is>
          <t>NO</t>
        </is>
      </c>
      <c r="L68" s="2" t="inlineStr"/>
    </row>
    <row r="69">
      <c r="A69" s="2" t="inlineStr">
        <is>
          <t>MT-068</t>
        </is>
      </c>
      <c r="B69" s="2" t="inlineStr">
        <is>
          <t>Uninstall</t>
        </is>
      </c>
      <c r="C69" s="2" t="inlineStr">
        <is>
          <t>P1</t>
        </is>
      </c>
      <c r="D69" s="2" t="inlineStr">
        <is>
          <t>Windows</t>
        </is>
      </c>
      <c r="E69" s="2" t="inlineStr">
        <is>
          <t>Archive enabled and service active</t>
        </is>
      </c>
      <c r="F69" s="2" t="inlineStr">
        <is>
          <t>Run uninstall.ps1, then inspect processes/hooks and preserved data.</t>
        </is>
      </c>
      <c r="G69" s="2" t="inlineStr">
        <is>
          <t>Integration cleanup requests service stop and removes Monitor-owned hook; no unrelated Codex hooks/data are removed. Record any transient runtime leftovers as issue.</t>
        </is>
      </c>
      <c r="H69" s="3" t="inlineStr">
        <is>
          <t>NOT RUN</t>
        </is>
      </c>
      <c r="I69" s="4" t="inlineStr"/>
      <c r="J69" s="4" t="inlineStr"/>
      <c r="K69" s="4" t="inlineStr">
        <is>
          <t>NO</t>
        </is>
      </c>
      <c r="L69" s="2" t="inlineStr"/>
    </row>
    <row r="70">
      <c r="A70" s="2" t="inlineStr">
        <is>
          <t>MT-069</t>
        </is>
      </c>
      <c r="B70" s="2" t="inlineStr">
        <is>
          <t>Uninstall</t>
        </is>
      </c>
      <c r="C70" s="2" t="inlineStr">
        <is>
          <t>P0</t>
        </is>
      </c>
      <c r="D70" s="2" t="inlineStr">
        <is>
          <t>Windows</t>
        </is>
      </c>
      <c r="E70" s="2" t="inlineStr">
        <is>
          <t>Uninstall complete</t>
        </is>
      </c>
      <c r="F70" s="2" t="inlineStr">
        <is>
          <t>Run official codex.</t>
        </is>
      </c>
      <c r="G70" s="2" t="inlineStr">
        <is>
          <t>Official Codex remains usable.</t>
        </is>
      </c>
      <c r="H70" s="3" t="inlineStr">
        <is>
          <t>NOT RUN</t>
        </is>
      </c>
      <c r="I70" s="4" t="inlineStr"/>
      <c r="J70" s="4" t="inlineStr"/>
      <c r="K70" s="4" t="inlineStr">
        <is>
          <t>NO</t>
        </is>
      </c>
      <c r="L70" s="2" t="inlineStr"/>
    </row>
    <row r="71">
      <c r="A71" s="2" t="inlineStr">
        <is>
          <t>MT-070</t>
        </is>
      </c>
      <c r="B71" s="2" t="inlineStr">
        <is>
          <t>Release</t>
        </is>
      </c>
      <c r="C71" s="2" t="inlineStr">
        <is>
          <t>P0</t>
        </is>
      </c>
      <c r="D71" s="2" t="inlineStr">
        <is>
          <t>Windows</t>
        </is>
      </c>
      <c r="E71" s="2" t="inlineStr">
        <is>
          <t>Clean checkout of v1-finalization</t>
        </is>
      </c>
      <c r="F71" s="2" t="inlineStr">
        <is>
          <t>Run npm ci then npm run verify:phase13.</t>
        </is>
      </c>
      <c r="G71" s="2" t="inlineStr">
        <is>
          <t>All automated Phase 13 regression tests PASS.</t>
        </is>
      </c>
      <c r="H71" s="3" t="inlineStr">
        <is>
          <t>NOT RUN</t>
        </is>
      </c>
      <c r="I71" s="4" t="inlineStr"/>
      <c r="J71" s="4" t="inlineStr"/>
      <c r="K71" s="4" t="inlineStr">
        <is>
          <t>NO</t>
        </is>
      </c>
      <c r="L71" s="2" t="inlineStr"/>
    </row>
    <row r="72">
      <c r="A72" s="2" t="inlineStr">
        <is>
          <t>MT-071</t>
        </is>
      </c>
      <c r="B72" s="2" t="inlineStr">
        <is>
          <t>Release</t>
        </is>
      </c>
      <c r="C72" s="2" t="inlineStr">
        <is>
          <t>P0</t>
        </is>
      </c>
      <c r="D72" s="2" t="inlineStr">
        <is>
          <t>Windows</t>
        </is>
      </c>
      <c r="E72" s="2" t="inlineStr">
        <is>
          <t>Clean checkout</t>
        </is>
      </c>
      <c r="F72" s="2" t="inlineStr">
        <is>
          <t>Run npm run package:smoke.</t>
        </is>
      </c>
      <c r="G72" s="2" t="inlineStr">
        <is>
          <t>Package smoke verification PASS.</t>
        </is>
      </c>
      <c r="H72" s="3" t="inlineStr">
        <is>
          <t>NOT RUN</t>
        </is>
      </c>
      <c r="I72" s="4" t="inlineStr"/>
      <c r="J72" s="4" t="inlineStr"/>
      <c r="K72" s="4" t="inlineStr">
        <is>
          <t>NO</t>
        </is>
      </c>
      <c r="L72" s="2" t="inlineStr"/>
    </row>
    <row r="73">
      <c r="A73" s="2" t="inlineStr">
        <is>
          <t>MT-072</t>
        </is>
      </c>
      <c r="B73" s="2" t="inlineStr">
        <is>
          <t>Release</t>
        </is>
      </c>
      <c r="C73" s="2" t="inlineStr">
        <is>
          <t>P0</t>
        </is>
      </c>
      <c r="D73" s="2" t="inlineStr">
        <is>
          <t>Windows</t>
        </is>
      </c>
      <c r="E73" s="2" t="inlineStr">
        <is>
          <t>Clean checkout</t>
        </is>
      </c>
      <c r="F73" s="2" t="inlineStr">
        <is>
          <t>Run npm run release:artifact.</t>
        </is>
      </c>
      <c r="G73" s="2" t="inlineStr">
        <is>
          <t>Release .tgz and SHA256SUMS are produced successfully.</t>
        </is>
      </c>
      <c r="H73" s="3" t="inlineStr">
        <is>
          <t>NOT RUN</t>
        </is>
      </c>
      <c r="I73" s="4" t="inlineStr"/>
      <c r="J73" s="4" t="inlineStr"/>
      <c r="K73" s="4" t="inlineStr">
        <is>
          <t>NO</t>
        </is>
      </c>
      <c r="L73" s="2" t="inlineStr"/>
    </row>
    <row r="74">
      <c r="A74" s="2" t="inlineStr">
        <is>
          <t>MT-073</t>
        </is>
      </c>
      <c r="B74" s="2" t="inlineStr">
        <is>
          <t>Release</t>
        </is>
      </c>
      <c r="C74" s="2" t="inlineStr">
        <is>
          <t>P0</t>
        </is>
      </c>
      <c r="D74" s="2" t="inlineStr">
        <is>
          <t>Windows</t>
        </is>
      </c>
      <c r="E74" s="2" t="inlineStr">
        <is>
          <t>Release artifact produced</t>
        </is>
      </c>
      <c r="F74" s="2" t="inlineStr">
        <is>
          <t>Inspect package contents.</t>
        </is>
      </c>
      <c r="G74" s="2" t="inlineStr">
        <is>
          <t>No local config, auth, session, Archive DB, runtime marker or other machine-local data is packaged.</t>
        </is>
      </c>
      <c r="H74" s="3" t="inlineStr">
        <is>
          <t>NOT RUN</t>
        </is>
      </c>
      <c r="I74" s="4" t="inlineStr"/>
      <c r="J74" s="4" t="inlineStr"/>
      <c r="K74" s="4" t="inlineStr">
        <is>
          <t>NO</t>
        </is>
      </c>
      <c r="L74" s="2" t="inlineStr"/>
    </row>
    <row r="75">
      <c r="A75" s="2" t="inlineStr">
        <is>
          <t>MT-074</t>
        </is>
      </c>
      <c r="B75" s="2" t="inlineStr">
        <is>
          <t>Release</t>
        </is>
      </c>
      <c r="C75" s="2" t="inlineStr">
        <is>
          <t>P1</t>
        </is>
      </c>
      <c r="D75" s="2" t="inlineStr">
        <is>
          <t>Windows</t>
        </is>
      </c>
      <c r="E75" s="2" t="inlineStr">
        <is>
          <t>Release candidate</t>
        </is>
      </c>
      <c r="F75" s="2" t="inlineStr">
        <is>
          <t>Review README, SECURITY, PRIVACY, CHANGELOG and CLI docs against actual commands.</t>
        </is>
      </c>
      <c r="G75" s="2" t="inlineStr">
        <is>
          <t>Documentation matches current dedicated command family and external install/uninstall contract.</t>
        </is>
      </c>
      <c r="H75" s="3" t="inlineStr">
        <is>
          <t>NOT RUN</t>
        </is>
      </c>
      <c r="I75" s="4" t="inlineStr"/>
      <c r="J75" s="4" t="inlineStr"/>
      <c r="K75" s="4" t="inlineStr">
        <is>
          <t>NO</t>
        </is>
      </c>
      <c r="L75" s="2" t="inlineStr"/>
    </row>
    <row r="76">
      <c r="A76" s="2" t="inlineStr">
        <is>
          <t>MT-075</t>
        </is>
      </c>
      <c r="B76" s="2" t="inlineStr">
        <is>
          <t>Release</t>
        </is>
      </c>
      <c r="C76" s="2" t="inlineStr">
        <is>
          <t>P1</t>
        </is>
      </c>
      <c r="D76" s="2" t="inlineStr">
        <is>
          <t>Windows</t>
        </is>
      </c>
      <c r="E76" s="2" t="inlineStr">
        <is>
          <t>Release candidate</t>
        </is>
      </c>
      <c r="F76" s="2" t="inlineStr">
        <is>
          <t>Record signing/timestamp decision.</t>
        </is>
      </c>
      <c r="G76" s="2" t="inlineStr">
        <is>
          <t>Signing/timestamp is PASS or explicitly N/A with reason.</t>
        </is>
      </c>
      <c r="H76" s="3" t="inlineStr">
        <is>
          <t>NOT RUN</t>
        </is>
      </c>
      <c r="I76" s="4" t="inlineStr"/>
      <c r="J76" s="4" t="inlineStr"/>
      <c r="K76" s="4" t="inlineStr">
        <is>
          <t>NO</t>
        </is>
      </c>
      <c r="L76" s="2" t="inlineStr"/>
    </row>
    <row r="77">
      <c r="A77" s="2" t="inlineStr">
        <is>
          <t>MT-076</t>
        </is>
      </c>
      <c r="B77" s="2" t="inlineStr">
        <is>
          <t>Platform matrix</t>
        </is>
      </c>
      <c r="C77" s="2" t="inlineStr">
        <is>
          <t>P1</t>
        </is>
      </c>
      <c r="D77" s="2" t="inlineStr">
        <is>
          <t>Linux</t>
        </is>
      </c>
      <c r="E77" s="2" t="inlineStr">
        <is>
          <t>Real Linux machine; supported Node/npm; official Codex</t>
        </is>
      </c>
      <c r="F77" s="2" t="inlineStr">
        <is>
          <t>Run core install/manual smoke where supported: codexm, codexmm, config, Archive, terminal restore.</t>
        </is>
      </c>
      <c r="G77" s="2" t="inlineStr">
        <is>
          <t>Record real-machine evidence; do not infer PASS from mocks.</t>
        </is>
      </c>
      <c r="H77" s="3" t="inlineStr">
        <is>
          <t>NOT RUN</t>
        </is>
      </c>
      <c r="I77" s="4" t="inlineStr"/>
      <c r="J77" s="4" t="inlineStr"/>
      <c r="K77" s="4" t="inlineStr">
        <is>
          <t>NO</t>
        </is>
      </c>
      <c r="L77" s="2" t="inlineStr"/>
    </row>
    <row r="78">
      <c r="A78" s="2" t="inlineStr">
        <is>
          <t>MT-077</t>
        </is>
      </c>
      <c r="B78" s="2" t="inlineStr">
        <is>
          <t>Platform matrix</t>
        </is>
      </c>
      <c r="C78" s="2" t="inlineStr">
        <is>
          <t>P1</t>
        </is>
      </c>
      <c r="D78" s="2" t="inlineStr">
        <is>
          <t>macOS</t>
        </is>
      </c>
      <c r="E78" s="2" t="inlineStr">
        <is>
          <t>Real macOS machine; supported Node/npm; official Codex</t>
        </is>
      </c>
      <c r="F78" s="2" t="inlineStr">
        <is>
          <t>Run core install/manual smoke where supported: codexm, codexmm, config, Archive, terminal restore.</t>
        </is>
      </c>
      <c r="G78" s="2" t="inlineStr">
        <is>
          <t>Record real-machine evidence; do not infer PASS from mocks.</t>
        </is>
      </c>
      <c r="H78" s="3" t="inlineStr">
        <is>
          <t>NOT RUN</t>
        </is>
      </c>
      <c r="I78" s="4" t="inlineStr"/>
      <c r="J78" s="4" t="inlineStr"/>
      <c r="K78" s="4" t="inlineStr">
        <is>
          <t>NO</t>
        </is>
      </c>
      <c r="L78" s="2" t="inlineStr"/>
    </row>
  </sheetData>
  <autoFilter ref="A1:L78"/>
  <conditionalFormatting sqref="H2:H78">
    <cfRule type="expression" priority="1" dxfId="0">
      <formula>$H2="PASS"</formula>
    </cfRule>
    <cfRule type="expression" priority="2" dxfId="1">
      <formula>$H2="FAIL"</formula>
    </cfRule>
    <cfRule type="expression" priority="3" dxfId="2">
      <formula>$H2="BLOCKED"</formula>
    </cfRule>
    <cfRule type="expression" priority="4" dxfId="3">
      <formula>$H2="N/A"</formula>
    </cfRule>
  </conditionalFormatting>
  <dataValidations count="2">
    <dataValidation sqref="H2:H78" showDropDown="0" showInputMessage="0" showErrorMessage="0" allowBlank="0" type="list">
      <formula1>"NOT RUN,PASS,FAIL,BLOCKED,N/A"</formula1>
    </dataValidation>
    <dataValidation sqref="K2:K78" showDropDown="0" showInputMessage="0" showErrorMessage="0" allowBlank="0" type="list">
      <formula1>"NO,YES,PASS,FAIL,N/A"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4" customWidth="1" min="3" max="3"/>
    <col width="18" customWidth="1" min="4" max="4"/>
    <col width="16" customWidth="1" min="5" max="5"/>
    <col width="4" customWidth="1" min="6" max="6"/>
  </cols>
  <sheetData>
    <row r="1" ht="30" customHeight="1">
      <c r="A1" s="5" t="inlineStr">
        <is>
          <t>CODEX MONITOR · MANUAL QA DASHBOARD</t>
        </is>
      </c>
    </row>
    <row r="3">
      <c r="A3" s="6" t="inlineStr">
        <is>
          <t>Branch</t>
        </is>
      </c>
      <c r="B3" s="7" t="inlineStr">
        <is>
          <t>v1-finalization</t>
        </is>
      </c>
      <c r="D3" s="6" t="inlineStr">
        <is>
          <t>Total</t>
        </is>
      </c>
      <c r="E3">
        <f>COUNTA('Manual Test Cases'!A2:A78)</f>
        <v/>
      </c>
    </row>
    <row r="4">
      <c r="A4" s="6" t="inlineStr">
        <is>
          <t>Baseline</t>
        </is>
      </c>
      <c r="B4" s="7" t="inlineStr">
        <is>
          <t>f8b99f6e4d22a2e7f6de43ebe0601c3f429ab3d1</t>
        </is>
      </c>
      <c r="D4" s="6" t="inlineStr">
        <is>
          <t>PASS</t>
        </is>
      </c>
      <c r="E4">
        <f>COUNTIF('Manual Test Cases'!H2:H78,"PASS")</f>
        <v/>
      </c>
    </row>
    <row r="5">
      <c r="A5" s="6" t="inlineStr">
        <is>
          <t>Automated gate</t>
        </is>
      </c>
      <c r="B5" s="7" t="inlineStr">
        <is>
          <t>verify:phase13 reported PASS by tester before branch split</t>
        </is>
      </c>
      <c r="D5" s="6" t="inlineStr">
        <is>
          <t>FAIL</t>
        </is>
      </c>
      <c r="E5">
        <f>COUNTIF('Manual Test Cases'!H2:H78,"FAIL")</f>
        <v/>
      </c>
    </row>
    <row r="6">
      <c r="D6" s="6" t="inlineStr">
        <is>
          <t>BLOCKED</t>
        </is>
      </c>
      <c r="E6">
        <f>COUNTIF('Manual Test Cases'!H2:H78,"BLOCKED")</f>
        <v/>
      </c>
    </row>
    <row r="7">
      <c r="D7" s="6" t="inlineStr">
        <is>
          <t>NOT RUN</t>
        </is>
      </c>
      <c r="E7">
        <f>COUNTIF('Manual Test Cases'!H2:H78,"NOT RUN")</f>
        <v/>
      </c>
    </row>
    <row r="8">
      <c r="A8" s="8" t="inlineStr">
        <is>
          <t>Usage</t>
        </is>
      </c>
      <c r="D8" s="6" t="inlineStr">
        <is>
          <t>N/A</t>
        </is>
      </c>
      <c r="E8">
        <f>COUNTIF('Manual Test Cases'!H2:H78,"N/A")</f>
        <v/>
      </c>
    </row>
    <row r="9">
      <c r="A9" s="9" t="inlineStr">
        <is>
          <t>Test directly on real machines. Update Status, Actual result / Evidence, Bug / Issue and Retest in the Manual Test Cases sheet. P0 failures should block release unless explicitly accepted. Linux/macOS remain unverified until real-machine evidence exists.</t>
        </is>
      </c>
    </row>
    <row r="10">
      <c r="D10" s="10" t="inlineStr">
        <is>
          <t>Pass rate</t>
        </is>
      </c>
      <c r="E10" s="11">
        <f>IFERROR(E4/(E3-E8),0)</f>
        <v/>
      </c>
    </row>
    <row r="11"/>
    <row r="12">
      <c r="D12" t="inlineStr">
        <is>
          <t>Release decision</t>
        </is>
      </c>
      <c r="E12" s="10">
        <f>IF(E5&gt;0,"NO-GO",IF(E6&gt;0,"BLOCKED",IF(E7&gt;0,"INCOMPLETE","GO")))</f>
        <v/>
      </c>
    </row>
    <row r="13"/>
  </sheetData>
  <mergeCells count="2">
    <mergeCell ref="A9:B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4" customWidth="1" min="9" max="9"/>
  </cols>
  <sheetData>
    <row r="1">
      <c r="A1" s="12" t="inlineStr">
        <is>
          <t>Area</t>
        </is>
      </c>
      <c r="B1" s="12" t="inlineStr">
        <is>
          <t>Total</t>
        </is>
      </c>
      <c r="C1" s="12" t="inlineStr">
        <is>
          <t>P0</t>
        </is>
      </c>
      <c r="D1" s="12" t="inlineStr">
        <is>
          <t>P1</t>
        </is>
      </c>
      <c r="E1" s="12" t="inlineStr">
        <is>
          <t>PASS</t>
        </is>
      </c>
      <c r="F1" s="12" t="inlineStr">
        <is>
          <t>FAIL</t>
        </is>
      </c>
      <c r="G1" s="12" t="inlineStr">
        <is>
          <t>BLOCKED</t>
        </is>
      </c>
      <c r="H1" s="12" t="inlineStr">
        <is>
          <t>NOT RUN</t>
        </is>
      </c>
      <c r="I1" s="12" t="inlineStr">
        <is>
          <t>Coverage %</t>
        </is>
      </c>
    </row>
    <row r="2">
      <c r="A2" t="inlineStr">
        <is>
          <t>Install</t>
        </is>
      </c>
      <c r="B2">
        <f>COUNTIF('Manual Test Cases'!B:B,A2)</f>
        <v/>
      </c>
      <c r="C2">
        <f>COUNTIFS('Manual Test Cases'!B:B,A2,'Manual Test Cases'!C:C,"P0")</f>
        <v/>
      </c>
      <c r="D2">
        <f>COUNTIFS('Manual Test Cases'!B:B,A2,'Manual Test Cases'!C:C,"P1")</f>
        <v/>
      </c>
      <c r="E2">
        <f>COUNTIFS('Manual Test Cases'!B:B,A2,'Manual Test Cases'!H:H,"PASS")</f>
        <v/>
      </c>
      <c r="F2">
        <f>COUNTIFS('Manual Test Cases'!B:B,A2,'Manual Test Cases'!H:H,"FAIL")</f>
        <v/>
      </c>
      <c r="G2">
        <f>COUNTIFS('Manual Test Cases'!B:B,A2,'Manual Test Cases'!H:H,"BLOCKED")</f>
        <v/>
      </c>
      <c r="H2">
        <f>COUNTIFS('Manual Test Cases'!B:B,A2,'Manual Test Cases'!H:H,"NOT RUN")</f>
        <v/>
      </c>
      <c r="I2" s="11">
        <f>IFERROR((B2-H2)/B2,0)</f>
        <v/>
      </c>
    </row>
    <row r="3">
      <c r="A3" t="inlineStr">
        <is>
          <t>Command family</t>
        </is>
      </c>
      <c r="B3">
        <f>COUNTIF('Manual Test Cases'!B:B,A3)</f>
        <v/>
      </c>
      <c r="C3">
        <f>COUNTIFS('Manual Test Cases'!B:B,A3,'Manual Test Cases'!C:C,"P0")</f>
        <v/>
      </c>
      <c r="D3">
        <f>COUNTIFS('Manual Test Cases'!B:B,A3,'Manual Test Cases'!C:C,"P1")</f>
        <v/>
      </c>
      <c r="E3">
        <f>COUNTIFS('Manual Test Cases'!B:B,A3,'Manual Test Cases'!H:H,"PASS")</f>
        <v/>
      </c>
      <c r="F3">
        <f>COUNTIFS('Manual Test Cases'!B:B,A3,'Manual Test Cases'!H:H,"FAIL")</f>
        <v/>
      </c>
      <c r="G3">
        <f>COUNTIFS('Manual Test Cases'!B:B,A3,'Manual Test Cases'!H:H,"BLOCKED")</f>
        <v/>
      </c>
      <c r="H3">
        <f>COUNTIFS('Manual Test Cases'!B:B,A3,'Manual Test Cases'!H:H,"NOT RUN")</f>
        <v/>
      </c>
      <c r="I3" s="11">
        <f>IFERROR((B3-H3)/B3,0)</f>
        <v/>
      </c>
    </row>
    <row r="4">
      <c r="A4" t="inlineStr">
        <is>
          <t>First run</t>
        </is>
      </c>
      <c r="B4">
        <f>COUNTIF('Manual Test Cases'!B:B,A4)</f>
        <v/>
      </c>
      <c r="C4">
        <f>COUNTIFS('Manual Test Cases'!B:B,A4,'Manual Test Cases'!C:C,"P0")</f>
        <v/>
      </c>
      <c r="D4">
        <f>COUNTIFS('Manual Test Cases'!B:B,A4,'Manual Test Cases'!C:C,"P1")</f>
        <v/>
      </c>
      <c r="E4">
        <f>COUNTIFS('Manual Test Cases'!B:B,A4,'Manual Test Cases'!H:H,"PASS")</f>
        <v/>
      </c>
      <c r="F4">
        <f>COUNTIFS('Manual Test Cases'!B:B,A4,'Manual Test Cases'!H:H,"FAIL")</f>
        <v/>
      </c>
      <c r="G4">
        <f>COUNTIFS('Manual Test Cases'!B:B,A4,'Manual Test Cases'!H:H,"BLOCKED")</f>
        <v/>
      </c>
      <c r="H4">
        <f>COUNTIFS('Manual Test Cases'!B:B,A4,'Manual Test Cases'!H:H,"NOT RUN")</f>
        <v/>
      </c>
      <c r="I4" s="11">
        <f>IFERROR((B4-H4)/B4,0)</f>
        <v/>
      </c>
    </row>
    <row r="5">
      <c r="A5" t="inlineStr">
        <is>
          <t>Config</t>
        </is>
      </c>
      <c r="B5">
        <f>COUNTIF('Manual Test Cases'!B:B,A5)</f>
        <v/>
      </c>
      <c r="C5">
        <f>COUNTIFS('Manual Test Cases'!B:B,A5,'Manual Test Cases'!C:C,"P0")</f>
        <v/>
      </c>
      <c r="D5">
        <f>COUNTIFS('Manual Test Cases'!B:B,A5,'Manual Test Cases'!C:C,"P1")</f>
        <v/>
      </c>
      <c r="E5">
        <f>COUNTIFS('Manual Test Cases'!B:B,A5,'Manual Test Cases'!H:H,"PASS")</f>
        <v/>
      </c>
      <c r="F5">
        <f>COUNTIFS('Manual Test Cases'!B:B,A5,'Manual Test Cases'!H:H,"FAIL")</f>
        <v/>
      </c>
      <c r="G5">
        <f>COUNTIFS('Manual Test Cases'!B:B,A5,'Manual Test Cases'!H:H,"BLOCKED")</f>
        <v/>
      </c>
      <c r="H5">
        <f>COUNTIFS('Manual Test Cases'!B:B,A5,'Manual Test Cases'!H:H,"NOT RUN")</f>
        <v/>
      </c>
      <c r="I5" s="11">
        <f>IFERROR((B5-H5)/B5,0)</f>
        <v/>
      </c>
    </row>
    <row r="6">
      <c r="A6" t="inlineStr">
        <is>
          <t>Live Monitor</t>
        </is>
      </c>
      <c r="B6">
        <f>COUNTIF('Manual Test Cases'!B:B,A6)</f>
        <v/>
      </c>
      <c r="C6">
        <f>COUNTIFS('Manual Test Cases'!B:B,A6,'Manual Test Cases'!C:C,"P0")</f>
        <v/>
      </c>
      <c r="D6">
        <f>COUNTIFS('Manual Test Cases'!B:B,A6,'Manual Test Cases'!C:C,"P1")</f>
        <v/>
      </c>
      <c r="E6">
        <f>COUNTIFS('Manual Test Cases'!B:B,A6,'Manual Test Cases'!H:H,"PASS")</f>
        <v/>
      </c>
      <c r="F6">
        <f>COUNTIFS('Manual Test Cases'!B:B,A6,'Manual Test Cases'!H:H,"FAIL")</f>
        <v/>
      </c>
      <c r="G6">
        <f>COUNTIFS('Manual Test Cases'!B:B,A6,'Manual Test Cases'!H:H,"BLOCKED")</f>
        <v/>
      </c>
      <c r="H6">
        <f>COUNTIFS('Manual Test Cases'!B:B,A6,'Manual Test Cases'!H:H,"NOT RUN")</f>
        <v/>
      </c>
      <c r="I6" s="11">
        <f>IFERROR((B6-H6)/B6,0)</f>
        <v/>
      </c>
    </row>
    <row r="7">
      <c r="A7" t="inlineStr">
        <is>
          <t>Local resume</t>
        </is>
      </c>
      <c r="B7">
        <f>COUNTIF('Manual Test Cases'!B:B,A7)</f>
        <v/>
      </c>
      <c r="C7">
        <f>COUNTIFS('Manual Test Cases'!B:B,A7,'Manual Test Cases'!C:C,"P0")</f>
        <v/>
      </c>
      <c r="D7">
        <f>COUNTIFS('Manual Test Cases'!B:B,A7,'Manual Test Cases'!C:C,"P1")</f>
        <v/>
      </c>
      <c r="E7">
        <f>COUNTIFS('Manual Test Cases'!B:B,A7,'Manual Test Cases'!H:H,"PASS")</f>
        <v/>
      </c>
      <c r="F7">
        <f>COUNTIFS('Manual Test Cases'!B:B,A7,'Manual Test Cases'!H:H,"FAIL")</f>
        <v/>
      </c>
      <c r="G7">
        <f>COUNTIFS('Manual Test Cases'!B:B,A7,'Manual Test Cases'!H:H,"BLOCKED")</f>
        <v/>
      </c>
      <c r="H7">
        <f>COUNTIFS('Manual Test Cases'!B:B,A7,'Manual Test Cases'!H:H,"NOT RUN")</f>
        <v/>
      </c>
      <c r="I7" s="11">
        <f>IFERROR((B7-H7)/B7,0)</f>
        <v/>
      </c>
    </row>
    <row r="8">
      <c r="A8" t="inlineStr">
        <is>
          <t>Session Manager</t>
        </is>
      </c>
      <c r="B8">
        <f>COUNTIF('Manual Test Cases'!B:B,A8)</f>
        <v/>
      </c>
      <c r="C8">
        <f>COUNTIFS('Manual Test Cases'!B:B,A8,'Manual Test Cases'!C:C,"P0")</f>
        <v/>
      </c>
      <c r="D8">
        <f>COUNTIFS('Manual Test Cases'!B:B,A8,'Manual Test Cases'!C:C,"P1")</f>
        <v/>
      </c>
      <c r="E8">
        <f>COUNTIFS('Manual Test Cases'!B:B,A8,'Manual Test Cases'!H:H,"PASS")</f>
        <v/>
      </c>
      <c r="F8">
        <f>COUNTIFS('Manual Test Cases'!B:B,A8,'Manual Test Cases'!H:H,"FAIL")</f>
        <v/>
      </c>
      <c r="G8">
        <f>COUNTIFS('Manual Test Cases'!B:B,A8,'Manual Test Cases'!H:H,"BLOCKED")</f>
        <v/>
      </c>
      <c r="H8">
        <f>COUNTIFS('Manual Test Cases'!B:B,A8,'Manual Test Cases'!H:H,"NOT RUN")</f>
        <v/>
      </c>
      <c r="I8" s="11">
        <f>IFERROR((B8-H8)/B8,0)</f>
        <v/>
      </c>
    </row>
    <row r="9">
      <c r="A9" t="inlineStr">
        <is>
          <t>Archive</t>
        </is>
      </c>
      <c r="B9">
        <f>COUNTIF('Manual Test Cases'!B:B,A9)</f>
        <v/>
      </c>
      <c r="C9">
        <f>COUNTIFS('Manual Test Cases'!B:B,A9,'Manual Test Cases'!C:C,"P0")</f>
        <v/>
      </c>
      <c r="D9">
        <f>COUNTIFS('Manual Test Cases'!B:B,A9,'Manual Test Cases'!C:C,"P1")</f>
        <v/>
      </c>
      <c r="E9">
        <f>COUNTIFS('Manual Test Cases'!B:B,A9,'Manual Test Cases'!H:H,"PASS")</f>
        <v/>
      </c>
      <c r="F9">
        <f>COUNTIFS('Manual Test Cases'!B:B,A9,'Manual Test Cases'!H:H,"FAIL")</f>
        <v/>
      </c>
      <c r="G9">
        <f>COUNTIFS('Manual Test Cases'!B:B,A9,'Manual Test Cases'!H:H,"BLOCKED")</f>
        <v/>
      </c>
      <c r="H9">
        <f>COUNTIFS('Manual Test Cases'!B:B,A9,'Manual Test Cases'!H:H,"NOT RUN")</f>
        <v/>
      </c>
      <c r="I9" s="11">
        <f>IFERROR((B9-H9)/B9,0)</f>
        <v/>
      </c>
    </row>
    <row r="10">
      <c r="A10" t="inlineStr">
        <is>
          <t>Product controls</t>
        </is>
      </c>
      <c r="B10">
        <f>COUNTIF('Manual Test Cases'!B:B,A10)</f>
        <v/>
      </c>
      <c r="C10">
        <f>COUNTIFS('Manual Test Cases'!B:B,A10,'Manual Test Cases'!C:C,"P0")</f>
        <v/>
      </c>
      <c r="D10">
        <f>COUNTIFS('Manual Test Cases'!B:B,A10,'Manual Test Cases'!C:C,"P1")</f>
        <v/>
      </c>
      <c r="E10">
        <f>COUNTIFS('Manual Test Cases'!B:B,A10,'Manual Test Cases'!H:H,"PASS")</f>
        <v/>
      </c>
      <c r="F10">
        <f>COUNTIFS('Manual Test Cases'!B:B,A10,'Manual Test Cases'!H:H,"FAIL")</f>
        <v/>
      </c>
      <c r="G10">
        <f>COUNTIFS('Manual Test Cases'!B:B,A10,'Manual Test Cases'!H:H,"BLOCKED")</f>
        <v/>
      </c>
      <c r="H10">
        <f>COUNTIFS('Manual Test Cases'!B:B,A10,'Manual Test Cases'!H:H,"NOT RUN")</f>
        <v/>
      </c>
      <c r="I10" s="11">
        <f>IFERROR((B10-H10)/B10,0)</f>
        <v/>
      </c>
    </row>
    <row r="11">
      <c r="A11" t="inlineStr">
        <is>
          <t>Storage safety</t>
        </is>
      </c>
      <c r="B11">
        <f>COUNTIF('Manual Test Cases'!B:B,A11)</f>
        <v/>
      </c>
      <c r="C11">
        <f>COUNTIFS('Manual Test Cases'!B:B,A11,'Manual Test Cases'!C:C,"P0")</f>
        <v/>
      </c>
      <c r="D11">
        <f>COUNTIFS('Manual Test Cases'!B:B,A11,'Manual Test Cases'!C:C,"P1")</f>
        <v/>
      </c>
      <c r="E11">
        <f>COUNTIFS('Manual Test Cases'!B:B,A11,'Manual Test Cases'!H:H,"PASS")</f>
        <v/>
      </c>
      <c r="F11">
        <f>COUNTIFS('Manual Test Cases'!B:B,A11,'Manual Test Cases'!H:H,"FAIL")</f>
        <v/>
      </c>
      <c r="G11">
        <f>COUNTIFS('Manual Test Cases'!B:B,A11,'Manual Test Cases'!H:H,"BLOCKED")</f>
        <v/>
      </c>
      <c r="H11">
        <f>COUNTIFS('Manual Test Cases'!B:B,A11,'Manual Test Cases'!H:H,"NOT RUN")</f>
        <v/>
      </c>
      <c r="I11" s="11">
        <f>IFERROR((B11-H11)/B11,0)</f>
        <v/>
      </c>
    </row>
    <row r="12">
      <c r="A12" t="inlineStr">
        <is>
          <t>Upgrade / migration</t>
        </is>
      </c>
      <c r="B12">
        <f>COUNTIF('Manual Test Cases'!B:B,A12)</f>
        <v/>
      </c>
      <c r="C12">
        <f>COUNTIFS('Manual Test Cases'!B:B,A12,'Manual Test Cases'!C:C,"P0")</f>
        <v/>
      </c>
      <c r="D12">
        <f>COUNTIFS('Manual Test Cases'!B:B,A12,'Manual Test Cases'!C:C,"P1")</f>
        <v/>
      </c>
      <c r="E12">
        <f>COUNTIFS('Manual Test Cases'!B:B,A12,'Manual Test Cases'!H:H,"PASS")</f>
        <v/>
      </c>
      <c r="F12">
        <f>COUNTIFS('Manual Test Cases'!B:B,A12,'Manual Test Cases'!H:H,"FAIL")</f>
        <v/>
      </c>
      <c r="G12">
        <f>COUNTIFS('Manual Test Cases'!B:B,A12,'Manual Test Cases'!H:H,"BLOCKED")</f>
        <v/>
      </c>
      <c r="H12">
        <f>COUNTIFS('Manual Test Cases'!B:B,A12,'Manual Test Cases'!H:H,"NOT RUN")</f>
        <v/>
      </c>
      <c r="I12" s="11">
        <f>IFERROR((B12-H12)/B12,0)</f>
        <v/>
      </c>
    </row>
    <row r="13">
      <c r="A13" t="inlineStr">
        <is>
          <t>Uninstall</t>
        </is>
      </c>
      <c r="B13">
        <f>COUNTIF('Manual Test Cases'!B:B,A13)</f>
        <v/>
      </c>
      <c r="C13">
        <f>COUNTIFS('Manual Test Cases'!B:B,A13,'Manual Test Cases'!C:C,"P0")</f>
        <v/>
      </c>
      <c r="D13">
        <f>COUNTIFS('Manual Test Cases'!B:B,A13,'Manual Test Cases'!C:C,"P1")</f>
        <v/>
      </c>
      <c r="E13">
        <f>COUNTIFS('Manual Test Cases'!B:B,A13,'Manual Test Cases'!H:H,"PASS")</f>
        <v/>
      </c>
      <c r="F13">
        <f>COUNTIFS('Manual Test Cases'!B:B,A13,'Manual Test Cases'!H:H,"FAIL")</f>
        <v/>
      </c>
      <c r="G13">
        <f>COUNTIFS('Manual Test Cases'!B:B,A13,'Manual Test Cases'!H:H,"BLOCKED")</f>
        <v/>
      </c>
      <c r="H13">
        <f>COUNTIFS('Manual Test Cases'!B:B,A13,'Manual Test Cases'!H:H,"NOT RUN")</f>
        <v/>
      </c>
      <c r="I13" s="11">
        <f>IFERROR((B13-H13)/B13,0)</f>
        <v/>
      </c>
    </row>
    <row r="14">
      <c r="A14" t="inlineStr">
        <is>
          <t>Release</t>
        </is>
      </c>
      <c r="B14">
        <f>COUNTIF('Manual Test Cases'!B:B,A14)</f>
        <v/>
      </c>
      <c r="C14">
        <f>COUNTIFS('Manual Test Cases'!B:B,A14,'Manual Test Cases'!C:C,"P0")</f>
        <v/>
      </c>
      <c r="D14">
        <f>COUNTIFS('Manual Test Cases'!B:B,A14,'Manual Test Cases'!C:C,"P1")</f>
        <v/>
      </c>
      <c r="E14">
        <f>COUNTIFS('Manual Test Cases'!B:B,A14,'Manual Test Cases'!H:H,"PASS")</f>
        <v/>
      </c>
      <c r="F14">
        <f>COUNTIFS('Manual Test Cases'!B:B,A14,'Manual Test Cases'!H:H,"FAIL")</f>
        <v/>
      </c>
      <c r="G14">
        <f>COUNTIFS('Manual Test Cases'!B:B,A14,'Manual Test Cases'!H:H,"BLOCKED")</f>
        <v/>
      </c>
      <c r="H14">
        <f>COUNTIFS('Manual Test Cases'!B:B,A14,'Manual Test Cases'!H:H,"NOT RUN")</f>
        <v/>
      </c>
      <c r="I14" s="11">
        <f>IFERROR((B14-H14)/B14,0)</f>
        <v/>
      </c>
    </row>
    <row r="15">
      <c r="A15" t="inlineStr">
        <is>
          <t>Platform matrix</t>
        </is>
      </c>
      <c r="B15">
        <f>COUNTIF('Manual Test Cases'!B:B,A15)</f>
        <v/>
      </c>
      <c r="C15">
        <f>COUNTIFS('Manual Test Cases'!B:B,A15,'Manual Test Cases'!C:C,"P0")</f>
        <v/>
      </c>
      <c r="D15">
        <f>COUNTIFS('Manual Test Cases'!B:B,A15,'Manual Test Cases'!C:C,"P1")</f>
        <v/>
      </c>
      <c r="E15">
        <f>COUNTIFS('Manual Test Cases'!B:B,A15,'Manual Test Cases'!H:H,"PASS")</f>
        <v/>
      </c>
      <c r="F15">
        <f>COUNTIFS('Manual Test Cases'!B:B,A15,'Manual Test Cases'!H:H,"FAIL")</f>
        <v/>
      </c>
      <c r="G15">
        <f>COUNTIFS('Manual Test Cases'!B:B,A15,'Manual Test Cases'!H:H,"BLOCKED")</f>
        <v/>
      </c>
      <c r="H15">
        <f>COUNTIFS('Manual Test Cases'!B:B,A15,'Manual Test Cases'!H:H,"NOT RUN")</f>
        <v/>
      </c>
      <c r="I15" s="11">
        <f>IFERROR((B15-H15)/B15,0)</f>
        <v/>
      </c>
    </row>
  </sheetData>
  <autoFilter ref="A1:I15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3" t="inlineStr">
        <is>
          <t>HOW TO USE THIS MANUAL QA WORKBOOK</t>
        </is>
      </c>
    </row>
    <row r="2">
      <c r="A2" s="6" t="inlineStr">
        <is>
          <t>Purpose</t>
        </is>
      </c>
      <c r="B2" s="14" t="inlineStr">
        <is>
          <t>Manual acceptance checklist for ending v1-rearchitecture and validating v1-finalization.</t>
        </is>
      </c>
    </row>
    <row r="3">
      <c r="A3" s="6" t="inlineStr">
        <is>
          <t>Status</t>
        </is>
      </c>
      <c r="B3" s="14" t="inlineStr">
        <is>
          <t>Use NOT RUN / PASS / FAIL / BLOCKED / N/A dropdown. Enter evidence and issue reference for anything not PASS.</t>
        </is>
      </c>
    </row>
    <row r="4">
      <c r="A4" s="6" t="inlineStr">
        <is>
          <t>Priority</t>
        </is>
      </c>
      <c r="B4" s="14" t="inlineStr">
        <is>
          <t>P0 = release blocking core/safety contract. P1 = important quality/coverage; evaluate before release.</t>
        </is>
      </c>
    </row>
    <row r="5">
      <c r="A5" s="6" t="inlineStr">
        <is>
          <t>Retest</t>
        </is>
      </c>
      <c r="B5" s="14" t="inlineStr">
        <is>
          <t>Set YES while waiting for a fix, then PASS/FAIL after verification.</t>
        </is>
      </c>
    </row>
    <row r="6">
      <c r="A6" s="6" t="inlineStr">
        <is>
          <t>Branch</t>
        </is>
      </c>
      <c r="B6" s="14" t="inlineStr">
        <is>
          <t>v1-finalization created from v1-rearchitecture HEAD f8b99f6e4d22a2e7f6de43ebe0601c3f429ab3d1.</t>
        </is>
      </c>
    </row>
    <row r="7">
      <c r="A7" s="6" t="inlineStr">
        <is>
          <t>Important stale-doc finding</t>
        </is>
      </c>
      <c r="B7" s="14" t="inlineStr">
        <is>
          <t>docs/RELEASE-MANUAL-CHECKLIST.md still contains old flags such as --manager, --configure, --doctor and --uninstall. Treat workbook/current README as the current CLI contract and fix the checklist during finalization.</t>
        </is>
      </c>
    </row>
    <row r="8">
      <c r="A8" s="6" t="inlineStr">
        <is>
          <t>Source 1</t>
        </is>
      </c>
      <c r="B8" s="14" t="inlineStr">
        <is>
          <t>https://github.com/l0N9X69N/Codex-Monitor/blob/v1-finalization/README.md</t>
        </is>
      </c>
    </row>
    <row r="9">
      <c r="A9" s="6" t="inlineStr">
        <is>
          <t>Source 2</t>
        </is>
      </c>
      <c r="B9" s="14" t="inlineStr">
        <is>
          <t>https://github.com/l0N9X69N/Codex-Monitor/blob/v1-finalization/docs/RELEASE-MANUAL-CHECKLIST.md</t>
        </is>
      </c>
    </row>
    <row r="10">
      <c r="A10" s="6" t="inlineStr">
        <is>
          <t>Source 3</t>
        </is>
      </c>
      <c r="B10" s="14" t="inlineStr">
        <is>
          <t>https://github.com/l0N9X69N/Codex-Monitor/tree/v1-finalization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2026-08-28T09:38:02Z</dcterms:created>
  <dcterms:modified xmlns:dcterms="http://purl.org/dc/terms/" xmlns:xsi="http://www.w3.org/2001/XMLSchema-instance" xsi:type="dcterms:W3CDTF">2026-08-28T09:38:02Z</dcterms:modified>
</cp:coreProperties>
</file>