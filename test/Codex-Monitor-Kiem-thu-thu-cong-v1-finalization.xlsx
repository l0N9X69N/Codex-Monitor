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pp\Codex-Monitor\test\"/>
    </mc:Choice>
  </mc:AlternateContent>
  <xr:revisionPtr revIDLastSave="0" documentId="13_ncr:1_{FC179853-7FBA-4144-AB41-DAAF2F8DBD8A}" xr6:coauthVersionLast="47" xr6:coauthVersionMax="47" xr10:uidLastSave="{00000000-0000-0000-0000-000000000000}"/>
  <bookViews>
    <workbookView xWindow="3000" yWindow="2265" windowWidth="22650" windowHeight="11295" xr2:uid="{00000000-000D-0000-FFFF-FFFF00000000}"/>
  </bookViews>
  <sheets>
    <sheet name="Ca kiểm thử thủ công" sheetId="1" r:id="rId1"/>
    <sheet name="Tổng quan" sheetId="2" r:id="rId2"/>
    <sheet name="Ma trận bao phủ" sheetId="3" r:id="rId3"/>
    <sheet name="Hướng dẫn" sheetId="4" r:id="rId4"/>
  </sheets>
  <externalReferences>
    <externalReference r:id="rId5"/>
  </externalReferences>
  <definedNames>
    <definedName name="_xlnm._FilterDatabase" localSheetId="0" hidden="1">'Ca kiểm thử thủ công'!$A$1:$L$78</definedName>
    <definedName name="_xlnm._FilterDatabase" localSheetId="2" hidden="1">'Ma trận bao phủ'!$A$1:$I$15</definedName>
  </definedNames>
  <calcPr calcId="181029" forceFullCalc="1"/>
</workbook>
</file>

<file path=xl/calcChain.xml><?xml version="1.0" encoding="utf-8"?>
<calcChain xmlns="http://schemas.openxmlformats.org/spreadsheetml/2006/main">
  <c r="H15" i="3" l="1"/>
  <c r="G15" i="3"/>
  <c r="F15" i="3"/>
  <c r="E15" i="3"/>
  <c r="D15" i="3"/>
  <c r="C15" i="3"/>
  <c r="B15" i="3"/>
  <c r="I15" i="3" s="1"/>
  <c r="H14" i="3"/>
  <c r="G14" i="3"/>
  <c r="F14" i="3"/>
  <c r="E14" i="3"/>
  <c r="D14" i="3"/>
  <c r="C14" i="3"/>
  <c r="B14" i="3"/>
  <c r="H13" i="3"/>
  <c r="G13" i="3"/>
  <c r="F13" i="3"/>
  <c r="E13" i="3"/>
  <c r="D13" i="3"/>
  <c r="C13" i="3"/>
  <c r="B13" i="3"/>
  <c r="H12" i="3"/>
  <c r="I12" i="3" s="1"/>
  <c r="G12" i="3"/>
  <c r="F12" i="3"/>
  <c r="E12" i="3"/>
  <c r="D12" i="3"/>
  <c r="C12" i="3"/>
  <c r="B12" i="3"/>
  <c r="H11" i="3"/>
  <c r="G11" i="3"/>
  <c r="F11" i="3"/>
  <c r="E11" i="3"/>
  <c r="D11" i="3"/>
  <c r="C11" i="3"/>
  <c r="B11" i="3"/>
  <c r="I11" i="3" s="1"/>
  <c r="H10" i="3"/>
  <c r="G10" i="3"/>
  <c r="F10" i="3"/>
  <c r="E10" i="3"/>
  <c r="D10" i="3"/>
  <c r="C10" i="3"/>
  <c r="B10" i="3"/>
  <c r="I10" i="3" s="1"/>
  <c r="H9" i="3"/>
  <c r="G9" i="3"/>
  <c r="F9" i="3"/>
  <c r="E9" i="3"/>
  <c r="D9" i="3"/>
  <c r="C9" i="3"/>
  <c r="B9" i="3"/>
  <c r="H8" i="3"/>
  <c r="I8" i="3" s="1"/>
  <c r="G8" i="3"/>
  <c r="F8" i="3"/>
  <c r="E8" i="3"/>
  <c r="D8" i="3"/>
  <c r="C8" i="3"/>
  <c r="B8" i="3"/>
  <c r="H7" i="3"/>
  <c r="I7" i="3" s="1"/>
  <c r="G7" i="3"/>
  <c r="F7" i="3"/>
  <c r="E7" i="3"/>
  <c r="D7" i="3"/>
  <c r="C7" i="3"/>
  <c r="B7" i="3"/>
  <c r="H6" i="3"/>
  <c r="G6" i="3"/>
  <c r="F6" i="3"/>
  <c r="E6" i="3"/>
  <c r="D6" i="3"/>
  <c r="C6" i="3"/>
  <c r="B6" i="3"/>
  <c r="I6" i="3" s="1"/>
  <c r="H5" i="3"/>
  <c r="G5" i="3"/>
  <c r="F5" i="3"/>
  <c r="E5" i="3"/>
  <c r="D5" i="3"/>
  <c r="C5" i="3"/>
  <c r="B5" i="3"/>
  <c r="I5" i="3" s="1"/>
  <c r="H4" i="3"/>
  <c r="I4" i="3" s="1"/>
  <c r="G4" i="3"/>
  <c r="F4" i="3"/>
  <c r="E4" i="3"/>
  <c r="D4" i="3"/>
  <c r="C4" i="3"/>
  <c r="B4" i="3"/>
  <c r="H3" i="3"/>
  <c r="G3" i="3"/>
  <c r="F3" i="3"/>
  <c r="E3" i="3"/>
  <c r="D3" i="3"/>
  <c r="C3" i="3"/>
  <c r="B3" i="3"/>
  <c r="H2" i="3"/>
  <c r="G2" i="3"/>
  <c r="F2" i="3"/>
  <c r="E2" i="3"/>
  <c r="D2" i="3"/>
  <c r="C2" i="3"/>
  <c r="B2" i="3"/>
  <c r="E8" i="2"/>
  <c r="E7" i="2"/>
  <c r="E6" i="2"/>
  <c r="E5" i="2"/>
  <c r="E12" i="2" s="1"/>
  <c r="E4" i="2"/>
  <c r="E3" i="2"/>
  <c r="E9" i="2" s="1"/>
  <c r="I14" i="3" l="1"/>
  <c r="I13" i="3"/>
  <c r="I9" i="3"/>
  <c r="I3" i="3"/>
  <c r="I2" i="3"/>
  <c r="E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Test inventory derived from repository README, current CLI architecture, automated phase regressions, and release manual checklist on v1-finalization.</t>
        </r>
      </text>
    </comment>
  </commentList>
</comments>
</file>

<file path=xl/sharedStrings.xml><?xml version="1.0" encoding="utf-8"?>
<sst xmlns="http://schemas.openxmlformats.org/spreadsheetml/2006/main" count="766" uniqueCount="352">
  <si>
    <t>ID</t>
  </si>
  <si>
    <t>Hạng mục</t>
  </si>
  <si>
    <t>Mức ưu tiên</t>
  </si>
  <si>
    <t>Nền tảng</t>
  </si>
  <si>
    <t>Điều kiện tiên quyết</t>
  </si>
  <si>
    <t>Các bước kiểm thử</t>
  </si>
  <si>
    <t>Kết quả mong đợi</t>
  </si>
  <si>
    <t>Trạng thái</t>
  </si>
  <si>
    <t>Kết quả thực tế / Bằng chứng</t>
  </si>
  <si>
    <t>Lỗi / Vấn đề</t>
  </si>
  <si>
    <t>Kiểm thử lại</t>
  </si>
  <si>
    <t>Ghi chú</t>
  </si>
  <si>
    <t>MT-001</t>
  </si>
  <si>
    <t>Cài đặt</t>
  </si>
  <si>
    <t>P0</t>
  </si>
  <si>
    <t>Windows</t>
  </si>
  <si>
    <t>Hồ sơ Windows mới; PowerShell; có Internet; Node/npm phiên bản hỗ trợ đã được cài sẵn</t>
  </si>
  <si>
    <t>Chạy install.ps1 ở thư mục gốc từ GitHub. Sau đó chạy: Get-Command codexm,codexmm,codexmc,codexmh,codexmctl.</t>
  </si>
  <si>
    <t>Trình cài đặt hoàn tất; tái sử dụng Node/npm hiện có; cả 5 lệnh đều nhận diện được; Codex chính thức không bị thay đổi.</t>
  </si>
  <si>
    <t>CHƯA CHẠY</t>
  </si>
  <si>
    <t>KHÔNG</t>
  </si>
  <si>
    <t>MT-002</t>
  </si>
  <si>
    <t>Máy/hồ sơ mới chưa có cả Node lẫn npm; có winget</t>
  </si>
  <si>
    <t>Chạy install.ps1 ở thư mục gốc. Ghi lại phiên bản Node/npm trước và sau khi cài.</t>
  </si>
  <si>
    <t>Trình cài đặt cài Node.js LTS hiện tại qua winget kèm npm, sau đó cài Monitor thành công.</t>
  </si>
  <si>
    <t>MT-003</t>
  </si>
  <si>
    <t>Đang có Node phiên bản không hỗ trợ hoặc bộ Node/npm không đầy đủ</t>
  </si>
  <si>
    <t>Chạy install.ps1 ở thư mục gốc.</t>
  </si>
  <si>
    <t>Trình cài đặt dừng với thông báo có thể xử lý được; không tự nâng cấp/thay thế Node/npm dùng chung hiện có.</t>
  </si>
  <si>
    <t>MT-004</t>
  </si>
  <si>
    <t>P1</t>
  </si>
  <si>
    <t>Không có lệnh codex chính thức</t>
  </si>
  <si>
    <t>Monitor vẫn có thể cài; trình cài đặt cảnh báo Codex chính thức chưa có và không tự cài Codex.</t>
  </si>
  <si>
    <t>MT-005</t>
  </si>
  <si>
    <t>Monitor đã được cài</t>
  </si>
  <si>
    <t>Chạy lại trình cài đặt.</t>
  </si>
  <si>
    <t>Bản cài Monitor được nhận diện và thay thế an toàn; npm ci/link thành công; không ghi đè shim lệnh không thuộc Monitor.</t>
  </si>
  <si>
    <t>MT-006</t>
  </si>
  <si>
    <t>Nhóm lệnh</t>
  </si>
  <si>
    <t>Chạy codexmh; codexmm -h; codexmc -h; codexmctl.</t>
  </si>
  <si>
    <t>Nhóm lệnh riêng của Monitor hiển thị đúng và ngôn ngữ Help theo ngôn ngữ Monitor đã lưu.</t>
  </si>
  <si>
    <t>MT-007</t>
  </si>
  <si>
    <t>Monitor và Codex chính thức đã được cài</t>
  </si>
  <si>
    <t>Chạy codexm --help, codexm --version, codexm --manager, codexm --history và một option Codex đã biết.</t>
  </si>
  <si>
    <t>Toàn bộ tham số được chuyển nguyên trạng sang Codex chính thức; Monitor không chiếm các flag cũ như --manager/--history.</t>
  </si>
  <si>
    <t>MT-008</t>
  </si>
  <si>
    <t>Chạy codexm -- --history và một chuỗi tham số khác sau --.</t>
  </si>
  <si>
    <t>Thứ tự tham số chính xác, kể cả ranh giới --, được chuyển nguyên trạng tới Codex chính thức.</t>
  </si>
  <si>
    <t>MT-009</t>
  </si>
  <si>
    <t>Lần chạy đầu</t>
  </si>
  <si>
    <t>Config Monitor sạch; terminal tương tác</t>
  </si>
  <si>
    <t>Chạy codexm không kèm tham số.</t>
  </si>
  <si>
    <t>Onboarding xuất hiện trước Codex; Archive mặc định Disabled; chưa ghi config hay side effect nào cho tới khi Save rõ ràng.</t>
  </si>
  <si>
    <t>MT-010</t>
  </si>
  <si>
    <t>Config Monitor sạch</t>
  </si>
  <si>
    <t>Hủy onboarding.</t>
  </si>
  <si>
    <t>Codex không khởi chạy; config/preference và side effect Archive không được lưu/áp dụng.</t>
  </si>
  <si>
    <t>MT-011</t>
  </si>
  <si>
    <t>Đã hoàn tất onboarding và Save</t>
  </si>
  <si>
    <t>Đóng chương trình rồi chạy lại codexm không kèm tham số.</t>
  </si>
  <si>
    <t>Bỏ qua onboarding và Codex khởi chạy với cấu hình Monitor đã lưu.</t>
  </si>
  <si>
    <t>MT-012</t>
  </si>
  <si>
    <t>Chạy codexm với bất kỳ tham số Codex nào, ví dụ --help.</t>
  </si>
  <si>
    <t>Onboarding không chặn lời gọi có tham số.</t>
  </si>
  <si>
    <t>MT-013</t>
  </si>
  <si>
    <t>Cấu hình</t>
  </si>
  <si>
    <t>Chạy codexmc; thay đổi vài thiết lập; Preview; sau đó Cancel.</t>
  </si>
  <si>
    <t>Preview phản ánh bản nháp bằng renderer thật; Cancel không làm thay đổi config đã lưu.</t>
  </si>
  <si>
    <t>MT-014</t>
  </si>
  <si>
    <t>Chạy codexmc; thay đổi thiết lập; Save; mở lại codexmc.</t>
  </si>
  <si>
    <t>Thiết lập đã lưu được giữ lại và trạng thái setup được hoàn tất.</t>
  </si>
  <si>
    <t>MT-015</t>
  </si>
  <si>
    <t>Có config hiện tại và Codex auth/session</t>
  </si>
  <si>
    <t>Chạy codexmc --reset; đọc màn xác nhận; xác nhận rồi Save.</t>
  </si>
  <si>
    <t>Chỉ preference của Monitor được reset; Codex auth/session và Archive DB vẫn được giữ nguyên.</t>
  </si>
  <si>
    <t>MT-016</t>
  </si>
  <si>
    <t>File config bị lỗi định dạng</t>
  </si>
  <si>
    <t>Khởi chạy codexmc/codexm trong terminal tương tác.</t>
  </si>
  <si>
    <t>Hiện thông báo recovery; file lỗi gốc được giữ nguyên cho tới khi người dùng Save rõ ràng.</t>
  </si>
  <si>
    <t>MT-017</t>
  </si>
  <si>
    <t>Config có version tương lai chưa được hỗ trợ</t>
  </si>
  <si>
    <t>Mở Config.</t>
  </si>
  <si>
    <t>Config version tương lai bị từ chối an toàn; file nguồn không bị sửa.</t>
  </si>
  <si>
    <t>MT-018</t>
  </si>
  <si>
    <t>Đã chọn tiếng Việt</t>
  </si>
  <si>
    <t>Mở Config ở chế độ cyberpunk:256 và kiểm tra footer/help.</t>
  </si>
  <si>
    <t>Tên control kỹ thuật vẫn dùng English đúng thiết kế; phần giải thích tiếng Việt hiển thị đúng; accent màu của hotkey dễ nhìn.</t>
  </si>
  <si>
    <t>MT-019</t>
  </si>
  <si>
    <t>Live Monitor</t>
  </si>
  <si>
    <t>Đã cấu hình đăng nhập Codex chính thức</t>
  </si>
  <si>
    <t>Chạy codexm và thực hiện một prompt/tool interaction bình thường.</t>
  </si>
  <si>
    <t>Codex chính thức hoạt động bình thường trong Live Monitor; HUD cập nhật mà không làm hỏng tương tác.</t>
  </si>
  <si>
    <t>MT-020</t>
  </si>
  <si>
    <t>Có thể dùng/cấu hình API auth</t>
  </si>
  <si>
    <t>Chạy codexm với xác thực API key.</t>
  </si>
  <si>
    <t>Live Monitor phát hiện/hiển thị API auth đúng và Codex vẫn sử dụng bình thường.</t>
  </si>
  <si>
    <t>MT-021</t>
  </si>
  <si>
    <t>Đang có phiên Codex tương tác</t>
  </si>
  <si>
    <t>Gõ nhanh văn bản thường; dùng Enter, phím mũi tên và các phím nhập liệu Codex hay dùng.</t>
  </si>
  <si>
    <t>Sau khi Codex spawn, Codex sở hữu stdin; Monitor không nuốt input bình thường và không tạo độ trễ rõ rệt.</t>
  </si>
  <si>
    <t>MT-022</t>
  </si>
  <si>
    <t>Nhấn Ctrl+C / thoát Codex theo cách bình thường.</t>
  </si>
  <si>
    <t>Child process thoát đúng và trạng thái terminal (cursor/mode/input) được khôi phục.</t>
  </si>
  <si>
    <t>MT-023</t>
  </si>
  <si>
    <t>Config hỗ trợ các preset</t>
  </si>
  <si>
    <t>Kiểm thử Recommended, Compact, Full và một bố cục Custom.</t>
  </si>
  <si>
    <t>Mỗi bố cục đều dễ đọc, nằm trong khung và phản ánh đúng card/field đã chọn.</t>
  </si>
  <si>
    <t>MT-024</t>
  </si>
  <si>
    <t>Terminal có thể resize</t>
  </si>
  <si>
    <t>Thay đổi terminal sang chiều rộng hẹp, bình thường và rộng khi đang chạy.</t>
  </si>
  <si>
    <t>Không vỡ khung, wrap mất kiểm soát, chồng nội dung hoặc crash.</t>
  </si>
  <si>
    <t>MT-025</t>
  </si>
  <si>
    <t>Có các tùy chọn theme/background</t>
  </si>
  <si>
    <t>Chuyển qua các theme/background và capability fallback.</t>
  </si>
  <si>
    <t>Nội dung vẫn dễ đọc trên terminal hỗ trợ/fallback; không xuất hiện mã escape thô.</t>
  </si>
  <si>
    <t>MT-026</t>
  </si>
  <si>
    <t>Có thể bật/tắt Archive</t>
  </si>
  <si>
    <t>So sánh độ phản hồi khi gõ/render với Archive OFF rồi ON.</t>
  </si>
  <si>
    <t>Không có độ trễ nhập liệu nhìn thấy được do Archive gây ra.</t>
  </si>
  <si>
    <t>MT-027</t>
  </si>
  <si>
    <t>Tiếp tục phiên cục bộ</t>
  </si>
  <si>
    <t>Có nhiều Codex session cục bộ</t>
  </si>
  <si>
    <t>Thử các luồng local resume picker mà codexm hỗ trợ.</t>
  </si>
  <si>
    <t>Có thể chọn session cục bộ phù hợp; thread đã chọn được resume; nếu không match thì fallback an toàn sang picker chính thức của Codex.</t>
  </si>
  <si>
    <t>MT-028</t>
  </si>
  <si>
    <t>Session Manager</t>
  </si>
  <si>
    <t>Có nhiều session cục bộ</t>
  </si>
  <si>
    <t>Chạy codexmm.</t>
  </si>
  <si>
    <t>Manager mở độc lập và không spawn Codex chính thức.</t>
  </si>
  <si>
    <t>MT-029</t>
  </si>
  <si>
    <t>Manager đang mở</t>
  </si>
  <si>
    <t>Chuyển qua Operations, Table, Charts và Auto.</t>
  </si>
  <si>
    <t>Tất cả view render được và điều hướng vẫn phản hồi tốt.</t>
  </si>
  <si>
    <t>MT-030</t>
  </si>
  <si>
    <t>Có dữ liệu session live/ended</t>
  </si>
  <si>
    <t>Kiểm thử search, filter, sort, selection, detail và timeline.</t>
  </si>
  <si>
    <t>Kết quả xác định, ổn định và detail của session được chọn đúng với session tương ứng.</t>
  </si>
  <si>
    <t>MT-031</t>
  </si>
  <si>
    <t>Có session live/ended và dữ liệu Archive</t>
  </si>
  <si>
    <t>Kiểm tra cách hiển thị LIVE / ENDED / ARCHIVED.</t>
  </si>
  <si>
    <t>Trạng thái được suy luận thận trọng, dễ hiểu; chỉ mtime không được phép kết luận sai là LIVE.</t>
  </si>
  <si>
    <t>MT-032</t>
  </si>
  <si>
    <t>Mở Manager Config, preview Live/Manager rồi quay lại mà không Save.</t>
  </si>
  <si>
    <t>Dùng cùng Config controller; preview nằm trong khung; quay lại không lưu bản nháp.</t>
  </si>
  <si>
    <t>MT-033</t>
  </si>
  <si>
    <t>Có thể lưu default view của Manager</t>
  </si>
  <si>
    <t>Lưu default view cho Manager, sau đó chạy codexmm có và không có --view override một lần.</t>
  </si>
  <si>
    <t>Default view đã lưu được giữ; override chỉ ảnh hưởng lần chạy hiện tại.</t>
  </si>
  <si>
    <t>MT-034</t>
  </si>
  <si>
    <t>Có 1000+ file session hoặc bộ dữ liệu lớn tương đương</t>
  </si>
  <si>
    <t>Mở Manager, search/filter/chọn vài session.</t>
  </si>
  <si>
    <t>Discovery vẫn dùng được; danh sách metadata không cần đọc toàn bộ nội dung mọi session.</t>
  </si>
  <si>
    <t>MT-035</t>
  </si>
  <si>
    <t>Thoát bình thường và bằng Ctrl+C khi phù hợp.</t>
  </si>
  <si>
    <t>Terminal được khôi phục; không kẹt alternate screen/cursor/input mode.</t>
  </si>
  <si>
    <t>MT-036</t>
  </si>
  <si>
    <t>Archive / SQLite</t>
  </si>
  <si>
    <t>Archive đang Disabled</t>
  </si>
  <si>
    <t>Bật Archive trong Config nhưng chưa Save; kiểm tra filesystem/hooks.</t>
  </si>
  <si>
    <t>Không tạo/migrate SQLite và không có side effect integration trước khi Save rõ ràng.</t>
  </si>
  <si>
    <t>MT-037</t>
  </si>
  <si>
    <t>Bật Archive và Save rõ ràng.</t>
  </si>
  <si>
    <t>Hook thuộc Monitor được cài/self-heal; Archive service start/wake; SQLite đạt trạng thái healthy.</t>
  </si>
  <si>
    <t>MT-038</t>
  </si>
  <si>
    <t>Đã có hook Codex khác không thuộc Monitor</t>
  </si>
  <si>
    <t>Enable/repair Archive.</t>
  </si>
  <si>
    <t>Chỉ hook Archive thuộc Monitor bị tác động; hook khác được giữ nguyên.</t>
  </si>
  <si>
    <t>MT-039</t>
  </si>
  <si>
    <t>Archive đã bật và healthy</t>
  </si>
  <si>
    <t>Chạy các Codex session; kiểm tra Archive health trong Manager/doctor.</t>
  </si>
  <si>
    <t>Thay đổi JSONL được reconcile vào SQLite cục bộ; trạng thái healthy và diagnostics không lộ raw session content.</t>
  </si>
  <si>
    <t>MT-040</t>
  </si>
  <si>
    <t>Archive đã bật</t>
  </si>
  <si>
    <t>Mô phỏng bỏ lỡ một hook wake signal, sau đó cho reconcile/service wake chạy.</t>
  </si>
  <si>
    <t>Archive bắt kịp từ JSONL/committed offset mà không mất hoặc trùng dữ liệu.</t>
  </si>
  <si>
    <t>MT-041</t>
  </si>
  <si>
    <t>Mô phỏng bỏ lỡ thông báo filesystem watcher, sau đó trigger reconcile bình thường.</t>
  </si>
  <si>
    <t>Archive bắt kịp đúng; watcher không phải cơ chế đảm bảo tính đúng đắn.</t>
  </si>
  <si>
    <t>MT-042</t>
  </si>
  <si>
    <t>Archive service đang chạy và có thay đổi JSONL chưa ingest</t>
  </si>
  <si>
    <t>Dừng/crash service, append hoạt động mới, sau đó restart/wake service.</t>
  </si>
  <si>
    <t>Service tiếp tục từ committed offset và bắt kịp an toàn.</t>
  </si>
  <si>
    <t>MT-043</t>
  </si>
  <si>
    <t>Append một dòng JSONL chưa hoàn chỉnh/bị lỗi, reconcile; sau đó hoàn chỉnh dòng và reconcile lại.</t>
  </si>
  <si>
    <t>Committed offset không vượt qua dữ liệu chưa hoàn chỉnh; record hoàn chỉnh sau đó chỉ ingest đúng một lần.</t>
  </si>
  <si>
    <t>MT-044</t>
  </si>
  <si>
    <t>Session tồn tại cả ở raw JSONL và Archive</t>
  </si>
  <si>
    <t>Xóa raw session bằng luồng storage được hỗ trợ trong Manager.</t>
  </si>
  <si>
    <t>Analytics trong Archive có thể còn dưới dạng ARCHIVED; ranh giới xóa được báo rõ.</t>
  </si>
  <si>
    <t>MT-045</t>
  </si>
  <si>
    <t>Xóa dữ liệu phía Archive bằng action được hỗ trợ.</t>
  </si>
  <si>
    <t>Raw Codex JSONL không bị xóa.</t>
  </si>
  <si>
    <t>MT-046</t>
  </si>
  <si>
    <t>Archive có dữ liệu</t>
  </si>
  <si>
    <t>Chạy action Compact Archive.</t>
  </si>
  <si>
    <t>Compaction thành công an toàn hoặc báo lỗi rõ mà không làm hỏng DB.</t>
  </si>
  <si>
    <t>MT-047</t>
  </si>
  <si>
    <t>Archive đang bật</t>
  </si>
  <si>
    <t>Tắt Archive và Save. Sau đó chạy codexm/codexmm.</t>
  </si>
  <si>
    <t>Background integration thuộc Monitor dừng/được gỡ đúng thiết kế; DB giữ nguyên; launch khi disabled không start Archive service.</t>
  </si>
  <si>
    <t>MT-048</t>
  </si>
  <si>
    <t>Lệnh quản trị</t>
  </si>
  <si>
    <t>Chạy codexmctl doctor.</t>
  </si>
  <si>
    <t>Diagnostics hữu ích và đã sanitize; không in raw session content hoặc auth secret.</t>
  </si>
  <si>
    <t>MT-049</t>
  </si>
  <si>
    <t>Chạy codexmctl diagnostics.</t>
  </si>
  <si>
    <t>Alias có hành vi giống doctor.</t>
  </si>
  <si>
    <t>MT-050</t>
  </si>
  <si>
    <t>Chạy codexmctl repair.</t>
  </si>
  <si>
    <t>Repair là no-op với Archive và không cài/wake Archive integration.</t>
  </si>
  <si>
    <t>MT-051</t>
  </si>
  <si>
    <t>Archive đã bật; làm hỏng/xóa hook thuộc Monitor</t>
  </si>
  <si>
    <t>Chỉ hook thuộc Monitor được repair và reconcile/service được wake; hook không liên quan không bị đụng.</t>
  </si>
  <si>
    <t>MT-052</t>
  </si>
  <si>
    <t>Có Internet</t>
  </si>
  <si>
    <t>Chạy codexmctl update.</t>
  </si>
  <si>
    <t>Kiểm tra có version Monitor mới hơn nhưng không tự cài.</t>
  </si>
  <si>
    <t>MT-053</t>
  </si>
  <si>
    <t>Không có mạng</t>
  </si>
  <si>
    <t>Chạy codexmctl update rồi chạy codexm bình thường.</t>
  </si>
  <si>
    <t>Lỗi update không chặn sản phẩm và hoạt động bình thường vẫn dùng được.</t>
  </si>
  <si>
    <t>MT-054</t>
  </si>
  <si>
    <t>Background update check lần lượt bật rồi tắt</t>
  </si>
  <si>
    <t>Khởi chạy sản phẩm nhiều lần trong và ngoài khoảng throttle.</t>
  </si>
  <si>
    <t>Check được throttle và Config có thể tắt background check.</t>
  </si>
  <si>
    <t>MT-055</t>
  </si>
  <si>
    <t>Chạy codexmctl version, config và config-path.</t>
  </si>
  <si>
    <t>Các lệnh trả về thông tin product/config đúng mà không prompt bất ngờ.</t>
  </si>
  <si>
    <t>MT-056</t>
  </si>
  <si>
    <t>Thử codexmctl install và codexmctl uninstall.</t>
  </si>
  <si>
    <t>Cả hai bị từ chối là lệnh control không hợp lệ; cài/gỡ chỉ qua script bên ngoài.</t>
  </si>
  <si>
    <t>MT-057</t>
  </si>
  <si>
    <t>An toàn dữ liệu</t>
  </si>
  <si>
    <t>Manager có nhiều session</t>
  </si>
  <si>
    <t>Xóa một raw session được chọn bằng UI hỗ trợ rồi kiểm tra filesystem.</t>
  </si>
  <si>
    <t>Chỉ dữ liệu session dự kiến bị xóa; session/auth/config khác vẫn nguyên; kết quả được báo rõ.</t>
  </si>
  <si>
    <t>MT-058</t>
  </si>
  <si>
    <t>Tạo điều kiện để một bước xóa thất bại</t>
  </si>
  <si>
    <t>Thực hiện operation xóa/cleanup được hỗ trợ.</t>
  </si>
  <si>
    <t>Partial failure được báo rõ; sản phẩm không tuyên bố thành công toàn phần.</t>
  </si>
  <si>
    <t>MT-059</t>
  </si>
  <si>
    <t>Có Archive DB/config</t>
  </si>
  <si>
    <t>Thực hiện reset/thay đổi config và các thao tác Manager bình thường.</t>
  </si>
  <si>
    <t>Không operation nào ngoài storage control rõ ràng được xóa Archive DB hoặc session/auth thuộc Codex.</t>
  </si>
  <si>
    <t>MT-060</t>
  </si>
  <si>
    <t>Nâng cấp / Di trú</t>
  </si>
  <si>
    <t>Có Monitor config cũ nhưng còn được hỗ trợ</t>
  </si>
  <si>
    <t>Cài/chạy branch hiện tại rồi mở sản phẩm.</t>
  </si>
  <si>
    <t>Config được migrate hợp lệ mà không ép onboarding; Archive không tự bật.</t>
  </si>
  <si>
    <t>MT-061</t>
  </si>
  <si>
    <t>Có fixture/backup Archive DB schema cũ</t>
  </si>
  <si>
    <t>Bật/mở Archive bằng build hiện tại.</t>
  </si>
  <si>
    <t>Schema migration an toàn theo transaction và dữ liệu vẫn đọc được.</t>
  </si>
  <si>
    <t>MT-062</t>
  </si>
  <si>
    <t>Chuẩn bị bản test để migration Archive thất bại an toàn</t>
  </si>
  <si>
    <t>Khởi chạy codexm sau lỗi migration.</t>
  </si>
  <si>
    <t>Lỗi Archive không ngăn Live Monitor/Codex chính thức hoạt động.</t>
  </si>
  <si>
    <t>MT-063</t>
  </si>
  <si>
    <t>Có historical analytics chỉ còn trong Archive</t>
  </si>
  <si>
    <t>Nâng cấp Monitor.</t>
  </si>
  <si>
    <t>Bản nâng cấp được hỗ trợ giữ nguyên lịch sử chỉ còn trong Archive.</t>
  </si>
  <si>
    <t>MT-064</t>
  </si>
  <si>
    <t>Gỡ cài đặt</t>
  </si>
  <si>
    <t>Monitor đã cài; Node/npm/Codex có từ trước; có config/Archive DB</t>
  </si>
  <si>
    <t>Chạy uninstall.ps1 bên ngoài ở thư mục gốc.</t>
  </si>
  <si>
    <t>Integration, global registration/link, shim thuộc Monitor và source app được nhận diện đều bị gỡ.</t>
  </si>
  <si>
    <t>MT-065</t>
  </si>
  <si>
    <t>Như trường hợp trên</t>
  </si>
  <si>
    <t>Sau khi gỡ, kiểm tra node, npm, codex, Codex auth/session, Monitor config và Archive SQLite.</t>
  </si>
  <si>
    <t>Node/npm dùng chung và Codex chính thức vẫn còn; user data/config/Archive DB vẫn còn.</t>
  </si>
  <si>
    <t>MT-066</t>
  </si>
  <si>
    <t>Installer ban đầu đã cài Node/npm vì cả hai chưa có</t>
  </si>
  <si>
    <t>Nếu thực tế cho phép, sau đó cài thêm một công cụ khác phụ thuộc Node rồi chạy uninstall.ps1.</t>
  </si>
  <si>
    <t>Uninstaller chủ động giữ Node/npm.</t>
  </si>
  <si>
    <t>MT-067</t>
  </si>
  <si>
    <t>Cố ý tạo shim cùng tên nhưng không nhận diện là thuộc Monitor</t>
  </si>
  <si>
    <t>Chạy uninstall.ps1.</t>
  </si>
  <si>
    <t>Uninstaller từ chối xóa shim/lệnh không xác nhận ownership thuộc Monitor.</t>
  </si>
  <si>
    <t>MT-068</t>
  </si>
  <si>
    <t>Archive đang bật và service đang active</t>
  </si>
  <si>
    <t>Chạy uninstall.ps1, sau đó kiểm tra process/hooks và dữ liệu được giữ lại.</t>
  </si>
  <si>
    <t>Cleanup yêu cầu service dừng và gỡ hook thuộc Monitor; không xóa hook/dữ liệu Codex khác. Ghi nhận runtime leftover tạm thời nếu có.</t>
  </si>
  <si>
    <t>MT-069</t>
  </si>
  <si>
    <t>Đã gỡ Monitor xong</t>
  </si>
  <si>
    <t>Chạy Codex chính thức.</t>
  </si>
  <si>
    <t>Codex chính thức vẫn sử dụng được.</t>
  </si>
  <si>
    <t>MT-070</t>
  </si>
  <si>
    <t>Phát hành</t>
  </si>
  <si>
    <t>Checkout sạch branch v1-finalization</t>
  </si>
  <si>
    <t>Chạy npm ci rồi npm run verify:phase13.</t>
  </si>
  <si>
    <t>Toàn bộ regression test tự động Phase 13 PASS.</t>
  </si>
  <si>
    <t>MT-071</t>
  </si>
  <si>
    <t>Checkout sạch</t>
  </si>
  <si>
    <t>Chạy npm run package:smoke.</t>
  </si>
  <si>
    <t>Package smoke verification PASS.</t>
  </si>
  <si>
    <t>MT-072</t>
  </si>
  <si>
    <t>Chạy npm run release:artifact.</t>
  </si>
  <si>
    <t>Tạo thành công release .tgz và SHA256SUMS.</t>
  </si>
  <si>
    <t>MT-073</t>
  </si>
  <si>
    <t>Đã tạo release artifact</t>
  </si>
  <si>
    <t>Kiểm tra nội dung package.</t>
  </si>
  <si>
    <t>Không đóng gói config/auth/session/Archive DB/runtime marker hoặc dữ liệu cục bộ của máy.</t>
  </si>
  <si>
    <t>MT-074</t>
  </si>
  <si>
    <t>Release candidate</t>
  </si>
  <si>
    <t>Đối chiếu README, SECURITY, PRIVACY, CHANGELOG và CLI docs với lệnh thực tế.</t>
  </si>
  <si>
    <t>Tài liệu khớp command family hiện tại và contract install/uninstall bên ngoài.</t>
  </si>
  <si>
    <t>MT-075</t>
  </si>
  <si>
    <t>Ghi lại quyết định signing/timestamp.</t>
  </si>
  <si>
    <t>Signing/timestamp là ĐẠT hoặc được đánh dấu KHÔNG ÁP DỤNG kèm lý do.</t>
  </si>
  <si>
    <t>MT-076</t>
  </si>
  <si>
    <t>Ma trận nền tảng</t>
  </si>
  <si>
    <t>Linux</t>
  </si>
  <si>
    <t>Máy Linux thật; Node/npm phiên bản hỗ trợ; Codex chính thức</t>
  </si>
  <si>
    <t>Chạy core install/manual smoke nếu hỗ trợ: codexm, codexmm, config, Archive, terminal restore.</t>
  </si>
  <si>
    <t>Ghi bằng chứng trên máy thật; không suy luận ĐẠT từ mock.</t>
  </si>
  <si>
    <t>MT-077</t>
  </si>
  <si>
    <t>macOS</t>
  </si>
  <si>
    <t>Máy macOS thật; Node/npm phiên bản hỗ trợ; Codex chính thức</t>
  </si>
  <si>
    <t>CODEX MONITOR · TỔNG QUAN KIỂM THỬ THỦ CÔNG</t>
  </si>
  <si>
    <t>Branch</t>
  </si>
  <si>
    <t>v1-finalization</t>
  </si>
  <si>
    <t>Tổng số</t>
  </si>
  <si>
    <t>Mốc gốc</t>
  </si>
  <si>
    <t>f8b99f6e4d22a2e7f6de43ebe0601c3f429ab3d1</t>
  </si>
  <si>
    <t>ĐẠT</t>
  </si>
  <si>
    <t>Gate tự động</t>
  </si>
  <si>
    <t>verify:phase13 đã được người kiểm thử báo PASS trước khi tách branch</t>
  </si>
  <si>
    <t>KHÔNG ĐẠT</t>
  </si>
  <si>
    <t>BỊ CHẶN</t>
  </si>
  <si>
    <t>Cách dùng</t>
  </si>
  <si>
    <t>Cập nhật Trạng thái ở sheet Ca kiểm thử thủ công; điền bằng chứng và mã lỗi cho mọi case không ĐẠT.</t>
  </si>
  <si>
    <t>KHÔNG ÁP DỤNG</t>
  </si>
  <si>
    <t>Test directly on real machines. Update Status, Actual result / Evidence, Bug / Issue and Retest in the Manual Test Cases sheet. P0 failures should block release unless explicitly accepted. Linux/macOS remain unverified until real-machine evidence exists.</t>
  </si>
  <si>
    <t>Tỷ lệ đã đánh giá</t>
  </si>
  <si>
    <t>Pass rate</t>
  </si>
  <si>
    <t>Release decision</t>
  </si>
  <si>
    <t>Tỷ lệ bao phủ</t>
  </si>
  <si>
    <t>HƯỚNG DẪN SỬ DỤNG FILE KIỂM THỬ THỦ CÔNG</t>
  </si>
  <si>
    <t>Mục đích</t>
  </si>
  <si>
    <t>Checklist nghiệm thu thủ công để kết thúc v1-rearchitecture và xác nhận v1-finalization.</t>
  </si>
  <si>
    <t>Dùng dropdown CHƯA CHẠY / ĐẠT / KHÔNG ĐẠT / BỊ CHẶN / KHÔNG ÁP DỤNG. Với case không ĐẠT, hãy điền bằng chứng và mã lỗi/vấn đề.</t>
  </si>
  <si>
    <t>P0 = contract core/an toàn có thể chặn release. P1 = chất lượng/bao phủ quan trọng, nên đánh giá trước khi phát hành.</t>
  </si>
  <si>
    <t>Đặt CÓ khi đang chờ fix; sau khi verify lại chuyển thành ĐẠT/KHÔNG ĐẠT hoặc KHÔNG ÁP DỤNG.</t>
  </si>
  <si>
    <t>v1-finalization được tạo từ HEAD v1-rearchitecture f8b99f6e4d22a2e7f6de43ebe0601c3f429ab3d1.</t>
  </si>
  <si>
    <t>Phát hiện tài liệu cũ quan trọng</t>
  </si>
  <si>
    <t>docs/RELEASE-MANUAL-CHECKLIST.md vẫn còn một số flag cũ như --manager, --configure, --doctor và --uninstall. Dùng workbook/README hiện tại làm contract CLI đúng và sửa checklist trong phase finalization.</t>
  </si>
  <si>
    <t>Nguồn 1</t>
  </si>
  <si>
    <t>https://github.com/l0N9X69N/Codex-Monitor/blob/v1-finalization/README.md</t>
  </si>
  <si>
    <t>Nguồn 2</t>
  </si>
  <si>
    <t>https://github.com/l0N9X69N/Codex-Monitor/blob/v1-finalization/docs/RELEASE-MANUAL-CHECKLIST.md</t>
  </si>
  <si>
    <t>Gợi ý nghiệm thu</t>
  </si>
  <si>
    <t>Ưu tiên chạy toàn bộ P0 trên Windows trước. Chỉ đánh dấu ĐẠT khi có bằng chứng thực tế; không suy luận PASS trên máy thật từ unit test/mock.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</si>
</sst>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666666"/>
      <name val="Calibri"/>
    </font>
    <font>
      <b/>
      <sz val="16"/>
      <color rgb="FFFFFFFF"/>
      <name val="Calibri"/>
    </font>
    <font>
      <b/>
      <sz val="11"/>
      <color rgb="FF666666"/>
      <name val="Calibri"/>
    </font>
    <font>
      <sz val="11"/>
      <color rgb="FF008000"/>
      <name val="Calibri"/>
    </font>
    <font>
      <b/>
      <sz val="11"/>
      <name val="Calibri"/>
    </font>
    <font>
      <b/>
      <sz val="15"/>
      <color rgb="FFFFFFFF"/>
      <name val="Calibri"/>
    </font>
    <font>
      <b/>
      <sz val="11"/>
      <color rgb="FF0000FF"/>
      <name val="Calibri"/>
    </font>
    <font>
      <sz val="11"/>
      <color rgb="FF0000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2033"/>
      </patternFill>
    </fill>
    <fill>
      <patternFill patternType="solid">
        <fgColor rgb="FF0F6B78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1" fillId="3" borderId="0" xfId="0" applyFont="1" applyFill="1"/>
    <xf numFmtId="0" fontId="6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0" fillId="0" borderId="0" xfId="0"/>
    <xf numFmtId="0" fontId="3" fillId="2" borderId="0" xfId="0" applyFont="1" applyFill="1" applyAlignment="1">
      <alignment horizontal="center"/>
    </xf>
    <xf numFmtId="0" fontId="7" fillId="2" borderId="0" xfId="0" applyFont="1" applyFill="1"/>
    <xf numFmtId="0" fontId="2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4">
    <dxf>
      <fill>
        <patternFill patternType="solid">
          <fgColor rgb="FFD9D9D9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D9EA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Manual QA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numRef>
              <c:f>[1]Dashboard!$D$4:$D$8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[1]Dashboard!$E$4:$E$8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FB-47D0-812E-C941DA0F6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Cases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39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shboar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78"/>
  <sheetViews>
    <sheetView showGridLines="0" tabSelected="1" workbookViewId="0">
      <pane ySplit="1" topLeftCell="A56" activePane="bottomLeft" state="frozen"/>
      <selection pane="bottomLeft" activeCell="D81" sqref="D81"/>
    </sheetView>
  </sheetViews>
  <sheetFormatPr defaultRowHeight="15" x14ac:dyDescent="0.25"/>
  <cols>
    <col min="1" max="1" width="11" customWidth="1"/>
    <col min="2" max="2" width="20" customWidth="1"/>
    <col min="3" max="3" width="10" customWidth="1"/>
    <col min="4" max="4" width="13" customWidth="1"/>
    <col min="5" max="5" width="35" customWidth="1"/>
    <col min="6" max="7" width="58" customWidth="1"/>
    <col min="8" max="8" width="13" customWidth="1"/>
    <col min="9" max="9" width="45" customWidth="1"/>
    <col min="10" max="10" width="25" customWidth="1"/>
    <col min="11" max="11" width="12" customWidth="1"/>
    <col min="12" max="12" width="35" customWidth="1"/>
  </cols>
  <sheetData>
    <row r="1" spans="1:12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16" customFormat="1" ht="45" x14ac:dyDescent="0.25">
      <c r="A2" s="13" t="s">
        <v>12</v>
      </c>
      <c r="B2" s="13" t="s">
        <v>13</v>
      </c>
      <c r="C2" s="13" t="s">
        <v>14</v>
      </c>
      <c r="D2" s="13" t="s">
        <v>15</v>
      </c>
      <c r="E2" s="13" t="s">
        <v>16</v>
      </c>
      <c r="F2" s="13" t="s">
        <v>17</v>
      </c>
      <c r="G2" s="13" t="s">
        <v>18</v>
      </c>
      <c r="H2" s="14" t="s">
        <v>19</v>
      </c>
      <c r="I2" s="15"/>
      <c r="J2" s="15"/>
      <c r="K2" s="15" t="s">
        <v>20</v>
      </c>
      <c r="L2" s="15"/>
    </row>
    <row r="3" spans="1:12" s="16" customFormat="1" ht="30" x14ac:dyDescent="0.25">
      <c r="A3" s="13" t="s">
        <v>21</v>
      </c>
      <c r="B3" s="13" t="s">
        <v>13</v>
      </c>
      <c r="C3" s="13" t="s">
        <v>14</v>
      </c>
      <c r="D3" s="13" t="s">
        <v>15</v>
      </c>
      <c r="E3" s="13" t="s">
        <v>22</v>
      </c>
      <c r="F3" s="13" t="s">
        <v>23</v>
      </c>
      <c r="G3" s="13" t="s">
        <v>24</v>
      </c>
      <c r="H3" s="14" t="s">
        <v>19</v>
      </c>
      <c r="I3" s="15"/>
      <c r="J3" s="15"/>
      <c r="K3" s="15" t="s">
        <v>20</v>
      </c>
      <c r="L3" s="15"/>
    </row>
    <row r="4" spans="1:12" s="16" customFormat="1" ht="30" x14ac:dyDescent="0.25">
      <c r="A4" s="13" t="s">
        <v>25</v>
      </c>
      <c r="B4" s="13" t="s">
        <v>13</v>
      </c>
      <c r="C4" s="13" t="s">
        <v>14</v>
      </c>
      <c r="D4" s="13" t="s">
        <v>15</v>
      </c>
      <c r="E4" s="13" t="s">
        <v>26</v>
      </c>
      <c r="F4" s="13" t="s">
        <v>27</v>
      </c>
      <c r="G4" s="13" t="s">
        <v>28</v>
      </c>
      <c r="H4" s="14" t="s">
        <v>19</v>
      </c>
      <c r="I4" s="15"/>
      <c r="J4" s="15"/>
      <c r="K4" s="15" t="s">
        <v>20</v>
      </c>
      <c r="L4" s="15"/>
    </row>
    <row r="5" spans="1:12" s="16" customFormat="1" ht="30" x14ac:dyDescent="0.25">
      <c r="A5" s="13" t="s">
        <v>29</v>
      </c>
      <c r="B5" s="13" t="s">
        <v>13</v>
      </c>
      <c r="C5" s="13" t="s">
        <v>30</v>
      </c>
      <c r="D5" s="13" t="s">
        <v>15</v>
      </c>
      <c r="E5" s="13" t="s">
        <v>31</v>
      </c>
      <c r="F5" s="13" t="s">
        <v>27</v>
      </c>
      <c r="G5" s="13" t="s">
        <v>32</v>
      </c>
      <c r="H5" s="14" t="s">
        <v>19</v>
      </c>
      <c r="I5" s="15"/>
      <c r="J5" s="15"/>
      <c r="K5" s="15" t="s">
        <v>20</v>
      </c>
      <c r="L5" s="15"/>
    </row>
    <row r="6" spans="1:12" s="16" customFormat="1" ht="45" x14ac:dyDescent="0.25">
      <c r="A6" s="13" t="s">
        <v>33</v>
      </c>
      <c r="B6" s="13" t="s">
        <v>13</v>
      </c>
      <c r="C6" s="13" t="s">
        <v>14</v>
      </c>
      <c r="D6" s="13" t="s">
        <v>15</v>
      </c>
      <c r="E6" s="13" t="s">
        <v>34</v>
      </c>
      <c r="F6" s="13" t="s">
        <v>35</v>
      </c>
      <c r="G6" s="13" t="s">
        <v>36</v>
      </c>
      <c r="H6" s="14" t="s">
        <v>19</v>
      </c>
      <c r="I6" s="15"/>
      <c r="J6" s="15"/>
      <c r="K6" s="15" t="s">
        <v>20</v>
      </c>
      <c r="L6" s="15"/>
    </row>
    <row r="7" spans="1:12" s="16" customFormat="1" ht="30" x14ac:dyDescent="0.25">
      <c r="A7" s="13" t="s">
        <v>37</v>
      </c>
      <c r="B7" s="13" t="s">
        <v>38</v>
      </c>
      <c r="C7" s="13" t="s">
        <v>14</v>
      </c>
      <c r="D7" s="13" t="s">
        <v>15</v>
      </c>
      <c r="E7" s="13" t="s">
        <v>34</v>
      </c>
      <c r="F7" s="13" t="s">
        <v>39</v>
      </c>
      <c r="G7" s="13" t="s">
        <v>40</v>
      </c>
      <c r="H7" s="14" t="s">
        <v>19</v>
      </c>
      <c r="I7" s="15"/>
      <c r="J7" s="15"/>
      <c r="K7" s="15" t="s">
        <v>20</v>
      </c>
      <c r="L7" s="15"/>
    </row>
    <row r="8" spans="1:12" s="16" customFormat="1" ht="45" x14ac:dyDescent="0.25">
      <c r="A8" s="13" t="s">
        <v>41</v>
      </c>
      <c r="B8" s="13" t="s">
        <v>38</v>
      </c>
      <c r="C8" s="13" t="s">
        <v>14</v>
      </c>
      <c r="D8" s="13" t="s">
        <v>15</v>
      </c>
      <c r="E8" s="13" t="s">
        <v>42</v>
      </c>
      <c r="F8" s="13" t="s">
        <v>43</v>
      </c>
      <c r="G8" s="13" t="s">
        <v>44</v>
      </c>
      <c r="H8" s="14" t="s">
        <v>19</v>
      </c>
      <c r="I8" s="15"/>
      <c r="J8" s="15"/>
      <c r="K8" s="15" t="s">
        <v>20</v>
      </c>
      <c r="L8" s="15"/>
    </row>
    <row r="9" spans="1:12" s="16" customFormat="1" ht="30" x14ac:dyDescent="0.25">
      <c r="A9" s="13" t="s">
        <v>45</v>
      </c>
      <c r="B9" s="13" t="s">
        <v>38</v>
      </c>
      <c r="C9" s="13" t="s">
        <v>14</v>
      </c>
      <c r="D9" s="13" t="s">
        <v>15</v>
      </c>
      <c r="E9" s="13" t="s">
        <v>42</v>
      </c>
      <c r="F9" s="13" t="s">
        <v>46</v>
      </c>
      <c r="G9" s="13" t="s">
        <v>47</v>
      </c>
      <c r="H9" s="14" t="s">
        <v>19</v>
      </c>
      <c r="I9" s="15"/>
      <c r="J9" s="15"/>
      <c r="K9" s="15" t="s">
        <v>20</v>
      </c>
      <c r="L9" s="15"/>
    </row>
    <row r="10" spans="1:12" s="16" customFormat="1" ht="30" x14ac:dyDescent="0.25">
      <c r="A10" s="13" t="s">
        <v>48</v>
      </c>
      <c r="B10" s="13" t="s">
        <v>49</v>
      </c>
      <c r="C10" s="13" t="s">
        <v>14</v>
      </c>
      <c r="D10" s="13" t="s">
        <v>15</v>
      </c>
      <c r="E10" s="13" t="s">
        <v>50</v>
      </c>
      <c r="F10" s="13" t="s">
        <v>51</v>
      </c>
      <c r="G10" s="13" t="s">
        <v>52</v>
      </c>
      <c r="H10" s="14" t="s">
        <v>19</v>
      </c>
      <c r="I10" s="15"/>
      <c r="J10" s="15"/>
      <c r="K10" s="15" t="s">
        <v>20</v>
      </c>
      <c r="L10" s="15"/>
    </row>
    <row r="11" spans="1:12" s="16" customFormat="1" ht="30" x14ac:dyDescent="0.25">
      <c r="A11" s="13" t="s">
        <v>53</v>
      </c>
      <c r="B11" s="13" t="s">
        <v>49</v>
      </c>
      <c r="C11" s="13" t="s">
        <v>14</v>
      </c>
      <c r="D11" s="13" t="s">
        <v>15</v>
      </c>
      <c r="E11" s="13" t="s">
        <v>54</v>
      </c>
      <c r="F11" s="13" t="s">
        <v>55</v>
      </c>
      <c r="G11" s="13" t="s">
        <v>56</v>
      </c>
      <c r="H11" s="14" t="s">
        <v>19</v>
      </c>
      <c r="I11" s="15"/>
      <c r="J11" s="15"/>
      <c r="K11" s="15" t="s">
        <v>20</v>
      </c>
      <c r="L11" s="15"/>
    </row>
    <row r="12" spans="1:12" s="16" customFormat="1" ht="30" x14ac:dyDescent="0.25">
      <c r="A12" s="13" t="s">
        <v>57</v>
      </c>
      <c r="B12" s="13" t="s">
        <v>49</v>
      </c>
      <c r="C12" s="13" t="s">
        <v>14</v>
      </c>
      <c r="D12" s="13" t="s">
        <v>15</v>
      </c>
      <c r="E12" s="13" t="s">
        <v>58</v>
      </c>
      <c r="F12" s="13" t="s">
        <v>59</v>
      </c>
      <c r="G12" s="13" t="s">
        <v>60</v>
      </c>
      <c r="H12" s="14" t="s">
        <v>19</v>
      </c>
      <c r="I12" s="15"/>
      <c r="J12" s="15"/>
      <c r="K12" s="15" t="s">
        <v>20</v>
      </c>
      <c r="L12" s="15"/>
    </row>
    <row r="13" spans="1:12" s="16" customFormat="1" x14ac:dyDescent="0.25">
      <c r="A13" s="13" t="s">
        <v>61</v>
      </c>
      <c r="B13" s="13" t="s">
        <v>49</v>
      </c>
      <c r="C13" s="13" t="s">
        <v>14</v>
      </c>
      <c r="D13" s="13" t="s">
        <v>15</v>
      </c>
      <c r="E13" s="13" t="s">
        <v>54</v>
      </c>
      <c r="F13" s="13" t="s">
        <v>62</v>
      </c>
      <c r="G13" s="13" t="s">
        <v>63</v>
      </c>
      <c r="H13" s="14" t="s">
        <v>19</v>
      </c>
      <c r="I13" s="15"/>
      <c r="J13" s="15"/>
      <c r="K13" s="15" t="s">
        <v>20</v>
      </c>
      <c r="L13" s="15"/>
    </row>
    <row r="14" spans="1:12" s="16" customFormat="1" ht="30" x14ac:dyDescent="0.25">
      <c r="A14" s="13" t="s">
        <v>64</v>
      </c>
      <c r="B14" s="13" t="s">
        <v>65</v>
      </c>
      <c r="C14" s="13" t="s">
        <v>14</v>
      </c>
      <c r="D14" s="13" t="s">
        <v>15</v>
      </c>
      <c r="E14" s="13" t="s">
        <v>34</v>
      </c>
      <c r="F14" s="13" t="s">
        <v>66</v>
      </c>
      <c r="G14" s="13" t="s">
        <v>67</v>
      </c>
      <c r="H14" s="14" t="s">
        <v>19</v>
      </c>
      <c r="I14" s="15"/>
      <c r="J14" s="15"/>
      <c r="K14" s="15" t="s">
        <v>20</v>
      </c>
      <c r="L14" s="15"/>
    </row>
    <row r="15" spans="1:12" s="16" customFormat="1" x14ac:dyDescent="0.25">
      <c r="A15" s="13" t="s">
        <v>68</v>
      </c>
      <c r="B15" s="13" t="s">
        <v>65</v>
      </c>
      <c r="C15" s="13" t="s">
        <v>14</v>
      </c>
      <c r="D15" s="13" t="s">
        <v>15</v>
      </c>
      <c r="E15" s="13" t="s">
        <v>34</v>
      </c>
      <c r="F15" s="13" t="s">
        <v>69</v>
      </c>
      <c r="G15" s="13" t="s">
        <v>70</v>
      </c>
      <c r="H15" s="14" t="s">
        <v>19</v>
      </c>
      <c r="I15" s="15"/>
      <c r="J15" s="15"/>
      <c r="K15" s="15" t="s">
        <v>20</v>
      </c>
      <c r="L15" s="15"/>
    </row>
    <row r="16" spans="1:12" s="16" customFormat="1" ht="30" x14ac:dyDescent="0.25">
      <c r="A16" s="13" t="s">
        <v>71</v>
      </c>
      <c r="B16" s="13" t="s">
        <v>65</v>
      </c>
      <c r="C16" s="13" t="s">
        <v>14</v>
      </c>
      <c r="D16" s="13" t="s">
        <v>15</v>
      </c>
      <c r="E16" s="13" t="s">
        <v>72</v>
      </c>
      <c r="F16" s="13" t="s">
        <v>73</v>
      </c>
      <c r="G16" s="13" t="s">
        <v>74</v>
      </c>
      <c r="H16" s="14" t="s">
        <v>19</v>
      </c>
      <c r="I16" s="15"/>
      <c r="J16" s="15"/>
      <c r="K16" s="15" t="s">
        <v>20</v>
      </c>
      <c r="L16" s="15"/>
    </row>
    <row r="17" spans="1:12" s="16" customFormat="1" ht="30" x14ac:dyDescent="0.25">
      <c r="A17" s="13" t="s">
        <v>75</v>
      </c>
      <c r="B17" s="13" t="s">
        <v>65</v>
      </c>
      <c r="C17" s="13" t="s">
        <v>30</v>
      </c>
      <c r="D17" s="13" t="s">
        <v>15</v>
      </c>
      <c r="E17" s="13" t="s">
        <v>76</v>
      </c>
      <c r="F17" s="13" t="s">
        <v>77</v>
      </c>
      <c r="G17" s="13" t="s">
        <v>78</v>
      </c>
      <c r="H17" s="14" t="s">
        <v>19</v>
      </c>
      <c r="I17" s="15"/>
      <c r="J17" s="15"/>
      <c r="K17" s="15" t="s">
        <v>20</v>
      </c>
      <c r="L17" s="15"/>
    </row>
    <row r="18" spans="1:12" s="16" customFormat="1" ht="30" x14ac:dyDescent="0.25">
      <c r="A18" s="13" t="s">
        <v>79</v>
      </c>
      <c r="B18" s="13" t="s">
        <v>65</v>
      </c>
      <c r="C18" s="13" t="s">
        <v>30</v>
      </c>
      <c r="D18" s="13" t="s">
        <v>15</v>
      </c>
      <c r="E18" s="13" t="s">
        <v>80</v>
      </c>
      <c r="F18" s="13" t="s">
        <v>81</v>
      </c>
      <c r="G18" s="13" t="s">
        <v>82</v>
      </c>
      <c r="H18" s="14" t="s">
        <v>19</v>
      </c>
      <c r="I18" s="15"/>
      <c r="J18" s="15"/>
      <c r="K18" s="15" t="s">
        <v>20</v>
      </c>
      <c r="L18" s="15"/>
    </row>
    <row r="19" spans="1:12" s="16" customFormat="1" ht="30" x14ac:dyDescent="0.25">
      <c r="A19" s="13" t="s">
        <v>83</v>
      </c>
      <c r="B19" s="13" t="s">
        <v>65</v>
      </c>
      <c r="C19" s="13" t="s">
        <v>30</v>
      </c>
      <c r="D19" s="13" t="s">
        <v>15</v>
      </c>
      <c r="E19" s="13" t="s">
        <v>84</v>
      </c>
      <c r="F19" s="13" t="s">
        <v>85</v>
      </c>
      <c r="G19" s="13" t="s">
        <v>86</v>
      </c>
      <c r="H19" s="14" t="s">
        <v>19</v>
      </c>
      <c r="I19" s="15"/>
      <c r="J19" s="15"/>
      <c r="K19" s="15" t="s">
        <v>20</v>
      </c>
      <c r="L19" s="15"/>
    </row>
    <row r="20" spans="1:12" s="16" customFormat="1" ht="30" x14ac:dyDescent="0.25">
      <c r="A20" s="13" t="s">
        <v>87</v>
      </c>
      <c r="B20" s="13" t="s">
        <v>88</v>
      </c>
      <c r="C20" s="13" t="s">
        <v>14</v>
      </c>
      <c r="D20" s="13" t="s">
        <v>15</v>
      </c>
      <c r="E20" s="13" t="s">
        <v>89</v>
      </c>
      <c r="F20" s="13" t="s">
        <v>90</v>
      </c>
      <c r="G20" s="13" t="s">
        <v>91</v>
      </c>
      <c r="H20" s="14" t="s">
        <v>19</v>
      </c>
      <c r="I20" s="15"/>
      <c r="J20" s="15"/>
      <c r="K20" s="15" t="s">
        <v>20</v>
      </c>
      <c r="L20" s="15"/>
    </row>
    <row r="21" spans="1:12" s="16" customFormat="1" ht="30" x14ac:dyDescent="0.25">
      <c r="A21" s="13" t="s">
        <v>92</v>
      </c>
      <c r="B21" s="13" t="s">
        <v>88</v>
      </c>
      <c r="C21" s="13" t="s">
        <v>30</v>
      </c>
      <c r="D21" s="13" t="s">
        <v>15</v>
      </c>
      <c r="E21" s="13" t="s">
        <v>93</v>
      </c>
      <c r="F21" s="13" t="s">
        <v>94</v>
      </c>
      <c r="G21" s="13" t="s">
        <v>95</v>
      </c>
      <c r="H21" s="14" t="s">
        <v>19</v>
      </c>
      <c r="I21" s="15"/>
      <c r="J21" s="15"/>
      <c r="K21" s="15" t="s">
        <v>20</v>
      </c>
      <c r="L21" s="15"/>
    </row>
    <row r="22" spans="1:12" s="16" customFormat="1" ht="30" x14ac:dyDescent="0.25">
      <c r="A22" s="13" t="s">
        <v>96</v>
      </c>
      <c r="B22" s="13" t="s">
        <v>88</v>
      </c>
      <c r="C22" s="13" t="s">
        <v>14</v>
      </c>
      <c r="D22" s="13" t="s">
        <v>15</v>
      </c>
      <c r="E22" s="13" t="s">
        <v>97</v>
      </c>
      <c r="F22" s="13" t="s">
        <v>98</v>
      </c>
      <c r="G22" s="13" t="s">
        <v>99</v>
      </c>
      <c r="H22" s="14" t="s">
        <v>19</v>
      </c>
      <c r="I22" s="15"/>
      <c r="J22" s="15"/>
      <c r="K22" s="15" t="s">
        <v>20</v>
      </c>
      <c r="L22" s="15"/>
    </row>
    <row r="23" spans="1:12" s="16" customFormat="1" ht="30" x14ac:dyDescent="0.25">
      <c r="A23" s="13" t="s">
        <v>100</v>
      </c>
      <c r="B23" s="13" t="s">
        <v>88</v>
      </c>
      <c r="C23" s="13" t="s">
        <v>14</v>
      </c>
      <c r="D23" s="13" t="s">
        <v>15</v>
      </c>
      <c r="E23" s="13" t="s">
        <v>97</v>
      </c>
      <c r="F23" s="13" t="s">
        <v>101</v>
      </c>
      <c r="G23" s="13" t="s">
        <v>102</v>
      </c>
      <c r="H23" s="14" t="s">
        <v>19</v>
      </c>
      <c r="I23" s="15"/>
      <c r="J23" s="15"/>
      <c r="K23" s="15" t="s">
        <v>20</v>
      </c>
      <c r="L23" s="15"/>
    </row>
    <row r="24" spans="1:12" s="16" customFormat="1" ht="30" x14ac:dyDescent="0.25">
      <c r="A24" s="13" t="s">
        <v>103</v>
      </c>
      <c r="B24" s="13" t="s">
        <v>88</v>
      </c>
      <c r="C24" s="13" t="s">
        <v>30</v>
      </c>
      <c r="D24" s="13" t="s">
        <v>15</v>
      </c>
      <c r="E24" s="13" t="s">
        <v>104</v>
      </c>
      <c r="F24" s="13" t="s">
        <v>105</v>
      </c>
      <c r="G24" s="13" t="s">
        <v>106</v>
      </c>
      <c r="H24" s="14" t="s">
        <v>19</v>
      </c>
      <c r="I24" s="15"/>
      <c r="J24" s="15"/>
      <c r="K24" s="15" t="s">
        <v>20</v>
      </c>
      <c r="L24" s="15"/>
    </row>
    <row r="25" spans="1:12" s="16" customFormat="1" ht="30" x14ac:dyDescent="0.25">
      <c r="A25" s="13" t="s">
        <v>107</v>
      </c>
      <c r="B25" s="13" t="s">
        <v>88</v>
      </c>
      <c r="C25" s="13" t="s">
        <v>30</v>
      </c>
      <c r="D25" s="13" t="s">
        <v>15</v>
      </c>
      <c r="E25" s="13" t="s">
        <v>108</v>
      </c>
      <c r="F25" s="13" t="s">
        <v>109</v>
      </c>
      <c r="G25" s="13" t="s">
        <v>110</v>
      </c>
      <c r="H25" s="14" t="s">
        <v>19</v>
      </c>
      <c r="I25" s="15"/>
      <c r="J25" s="15"/>
      <c r="K25" s="15" t="s">
        <v>20</v>
      </c>
      <c r="L25" s="15"/>
    </row>
    <row r="26" spans="1:12" s="16" customFormat="1" ht="30" x14ac:dyDescent="0.25">
      <c r="A26" s="13" t="s">
        <v>111</v>
      </c>
      <c r="B26" s="13" t="s">
        <v>88</v>
      </c>
      <c r="C26" s="13" t="s">
        <v>30</v>
      </c>
      <c r="D26" s="13" t="s">
        <v>15</v>
      </c>
      <c r="E26" s="13" t="s">
        <v>112</v>
      </c>
      <c r="F26" s="13" t="s">
        <v>113</v>
      </c>
      <c r="G26" s="13" t="s">
        <v>114</v>
      </c>
      <c r="H26" s="14" t="s">
        <v>19</v>
      </c>
      <c r="I26" s="15"/>
      <c r="J26" s="15"/>
      <c r="K26" s="15" t="s">
        <v>20</v>
      </c>
      <c r="L26" s="15"/>
    </row>
    <row r="27" spans="1:12" s="16" customFormat="1" x14ac:dyDescent="0.25">
      <c r="A27" s="13" t="s">
        <v>115</v>
      </c>
      <c r="B27" s="13" t="s">
        <v>88</v>
      </c>
      <c r="C27" s="13" t="s">
        <v>30</v>
      </c>
      <c r="D27" s="13" t="s">
        <v>15</v>
      </c>
      <c r="E27" s="13" t="s">
        <v>116</v>
      </c>
      <c r="F27" s="13" t="s">
        <v>117</v>
      </c>
      <c r="G27" s="13" t="s">
        <v>118</v>
      </c>
      <c r="H27" s="14" t="s">
        <v>19</v>
      </c>
      <c r="I27" s="15"/>
      <c r="J27" s="15"/>
      <c r="K27" s="15" t="s">
        <v>20</v>
      </c>
      <c r="L27" s="15"/>
    </row>
    <row r="28" spans="1:12" s="16" customFormat="1" ht="45" x14ac:dyDescent="0.25">
      <c r="A28" s="13" t="s">
        <v>119</v>
      </c>
      <c r="B28" s="13" t="s">
        <v>120</v>
      </c>
      <c r="C28" s="13" t="s">
        <v>30</v>
      </c>
      <c r="D28" s="13" t="s">
        <v>15</v>
      </c>
      <c r="E28" s="13" t="s">
        <v>121</v>
      </c>
      <c r="F28" s="13" t="s">
        <v>122</v>
      </c>
      <c r="G28" s="13" t="s">
        <v>123</v>
      </c>
      <c r="H28" s="14" t="s">
        <v>19</v>
      </c>
      <c r="I28" s="15"/>
      <c r="J28" s="15"/>
      <c r="K28" s="15" t="s">
        <v>20</v>
      </c>
      <c r="L28" s="15"/>
    </row>
    <row r="29" spans="1:12" s="16" customFormat="1" x14ac:dyDescent="0.25">
      <c r="A29" s="13" t="s">
        <v>124</v>
      </c>
      <c r="B29" s="13" t="s">
        <v>125</v>
      </c>
      <c r="C29" s="13" t="s">
        <v>14</v>
      </c>
      <c r="D29" s="13" t="s">
        <v>15</v>
      </c>
      <c r="E29" s="13" t="s">
        <v>126</v>
      </c>
      <c r="F29" s="13" t="s">
        <v>127</v>
      </c>
      <c r="G29" s="13" t="s">
        <v>128</v>
      </c>
      <c r="H29" s="14" t="s">
        <v>19</v>
      </c>
      <c r="I29" s="15"/>
      <c r="J29" s="15"/>
      <c r="K29" s="15" t="s">
        <v>20</v>
      </c>
      <c r="L29" s="15"/>
    </row>
    <row r="30" spans="1:12" s="16" customFormat="1" x14ac:dyDescent="0.25">
      <c r="A30" s="13" t="s">
        <v>129</v>
      </c>
      <c r="B30" s="13" t="s">
        <v>125</v>
      </c>
      <c r="C30" s="13" t="s">
        <v>14</v>
      </c>
      <c r="D30" s="13" t="s">
        <v>15</v>
      </c>
      <c r="E30" s="13" t="s">
        <v>130</v>
      </c>
      <c r="F30" s="13" t="s">
        <v>131</v>
      </c>
      <c r="G30" s="13" t="s">
        <v>132</v>
      </c>
      <c r="H30" s="14" t="s">
        <v>19</v>
      </c>
      <c r="I30" s="15"/>
      <c r="J30" s="15"/>
      <c r="K30" s="15" t="s">
        <v>20</v>
      </c>
      <c r="L30" s="15"/>
    </row>
    <row r="31" spans="1:12" s="16" customFormat="1" ht="30" x14ac:dyDescent="0.25">
      <c r="A31" s="13" t="s">
        <v>133</v>
      </c>
      <c r="B31" s="13" t="s">
        <v>125</v>
      </c>
      <c r="C31" s="13" t="s">
        <v>14</v>
      </c>
      <c r="D31" s="13" t="s">
        <v>15</v>
      </c>
      <c r="E31" s="13" t="s">
        <v>134</v>
      </c>
      <c r="F31" s="13" t="s">
        <v>135</v>
      </c>
      <c r="G31" s="13" t="s">
        <v>136</v>
      </c>
      <c r="H31" s="14" t="s">
        <v>19</v>
      </c>
      <c r="I31" s="15"/>
      <c r="J31" s="15"/>
      <c r="K31" s="15" t="s">
        <v>20</v>
      </c>
      <c r="L31" s="15"/>
    </row>
    <row r="32" spans="1:12" s="16" customFormat="1" ht="30" x14ac:dyDescent="0.25">
      <c r="A32" s="13" t="s">
        <v>137</v>
      </c>
      <c r="B32" s="13" t="s">
        <v>125</v>
      </c>
      <c r="C32" s="13" t="s">
        <v>14</v>
      </c>
      <c r="D32" s="13" t="s">
        <v>15</v>
      </c>
      <c r="E32" s="13" t="s">
        <v>138</v>
      </c>
      <c r="F32" s="13" t="s">
        <v>139</v>
      </c>
      <c r="G32" s="13" t="s">
        <v>140</v>
      </c>
      <c r="H32" s="14" t="s">
        <v>19</v>
      </c>
      <c r="I32" s="15"/>
      <c r="J32" s="15"/>
      <c r="K32" s="15" t="s">
        <v>20</v>
      </c>
      <c r="L32" s="15"/>
    </row>
    <row r="33" spans="1:12" s="16" customFormat="1" ht="30" x14ac:dyDescent="0.25">
      <c r="A33" s="13" t="s">
        <v>141</v>
      </c>
      <c r="B33" s="13" t="s">
        <v>125</v>
      </c>
      <c r="C33" s="13" t="s">
        <v>30</v>
      </c>
      <c r="D33" s="13" t="s">
        <v>15</v>
      </c>
      <c r="E33" s="13" t="s">
        <v>130</v>
      </c>
      <c r="F33" s="13" t="s">
        <v>142</v>
      </c>
      <c r="G33" s="13" t="s">
        <v>143</v>
      </c>
      <c r="H33" s="14" t="s">
        <v>19</v>
      </c>
      <c r="I33" s="15"/>
      <c r="J33" s="15"/>
      <c r="K33" s="15" t="s">
        <v>20</v>
      </c>
      <c r="L33" s="15"/>
    </row>
    <row r="34" spans="1:12" s="16" customFormat="1" ht="30" x14ac:dyDescent="0.25">
      <c r="A34" s="13" t="s">
        <v>144</v>
      </c>
      <c r="B34" s="13" t="s">
        <v>125</v>
      </c>
      <c r="C34" s="13" t="s">
        <v>30</v>
      </c>
      <c r="D34" s="13" t="s">
        <v>15</v>
      </c>
      <c r="E34" s="13" t="s">
        <v>145</v>
      </c>
      <c r="F34" s="13" t="s">
        <v>146</v>
      </c>
      <c r="G34" s="13" t="s">
        <v>147</v>
      </c>
      <c r="H34" s="14" t="s">
        <v>19</v>
      </c>
      <c r="I34" s="15"/>
      <c r="J34" s="15"/>
      <c r="K34" s="15" t="s">
        <v>20</v>
      </c>
      <c r="L34" s="15"/>
    </row>
    <row r="35" spans="1:12" s="16" customFormat="1" ht="30" x14ac:dyDescent="0.25">
      <c r="A35" s="13" t="s">
        <v>148</v>
      </c>
      <c r="B35" s="13" t="s">
        <v>125</v>
      </c>
      <c r="C35" s="13" t="s">
        <v>30</v>
      </c>
      <c r="D35" s="13" t="s">
        <v>15</v>
      </c>
      <c r="E35" s="13" t="s">
        <v>149</v>
      </c>
      <c r="F35" s="13" t="s">
        <v>150</v>
      </c>
      <c r="G35" s="13" t="s">
        <v>151</v>
      </c>
      <c r="H35" s="14" t="s">
        <v>19</v>
      </c>
      <c r="I35" s="15"/>
      <c r="J35" s="15"/>
      <c r="K35" s="15" t="s">
        <v>20</v>
      </c>
      <c r="L35" s="15"/>
    </row>
    <row r="36" spans="1:12" s="16" customFormat="1" ht="30" x14ac:dyDescent="0.25">
      <c r="A36" s="13" t="s">
        <v>152</v>
      </c>
      <c r="B36" s="13" t="s">
        <v>125</v>
      </c>
      <c r="C36" s="13" t="s">
        <v>14</v>
      </c>
      <c r="D36" s="13" t="s">
        <v>15</v>
      </c>
      <c r="E36" s="13" t="s">
        <v>130</v>
      </c>
      <c r="F36" s="13" t="s">
        <v>153</v>
      </c>
      <c r="G36" s="13" t="s">
        <v>154</v>
      </c>
      <c r="H36" s="14" t="s">
        <v>19</v>
      </c>
      <c r="I36" s="15"/>
      <c r="J36" s="15"/>
      <c r="K36" s="15" t="s">
        <v>20</v>
      </c>
      <c r="L36" s="15"/>
    </row>
    <row r="37" spans="1:12" s="16" customFormat="1" ht="30" x14ac:dyDescent="0.25">
      <c r="A37" s="13" t="s">
        <v>155</v>
      </c>
      <c r="B37" s="13" t="s">
        <v>156</v>
      </c>
      <c r="C37" s="13" t="s">
        <v>14</v>
      </c>
      <c r="D37" s="13" t="s">
        <v>15</v>
      </c>
      <c r="E37" s="13" t="s">
        <v>157</v>
      </c>
      <c r="F37" s="13" t="s">
        <v>158</v>
      </c>
      <c r="G37" s="13" t="s">
        <v>159</v>
      </c>
      <c r="H37" s="14" t="s">
        <v>19</v>
      </c>
      <c r="I37" s="15"/>
      <c r="J37" s="15"/>
      <c r="K37" s="15" t="s">
        <v>20</v>
      </c>
      <c r="L37" s="15"/>
    </row>
    <row r="38" spans="1:12" s="16" customFormat="1" ht="30" x14ac:dyDescent="0.25">
      <c r="A38" s="13" t="s">
        <v>160</v>
      </c>
      <c r="B38" s="13" t="s">
        <v>156</v>
      </c>
      <c r="C38" s="13" t="s">
        <v>14</v>
      </c>
      <c r="D38" s="13" t="s">
        <v>15</v>
      </c>
      <c r="E38" s="13" t="s">
        <v>157</v>
      </c>
      <c r="F38" s="13" t="s">
        <v>161</v>
      </c>
      <c r="G38" s="13" t="s">
        <v>162</v>
      </c>
      <c r="H38" s="14" t="s">
        <v>19</v>
      </c>
      <c r="I38" s="15"/>
      <c r="J38" s="15"/>
      <c r="K38" s="15" t="s">
        <v>20</v>
      </c>
      <c r="L38" s="15"/>
    </row>
    <row r="39" spans="1:12" s="16" customFormat="1" ht="30" x14ac:dyDescent="0.25">
      <c r="A39" s="13" t="s">
        <v>163</v>
      </c>
      <c r="B39" s="13" t="s">
        <v>156</v>
      </c>
      <c r="C39" s="13" t="s">
        <v>14</v>
      </c>
      <c r="D39" s="13" t="s">
        <v>15</v>
      </c>
      <c r="E39" s="13" t="s">
        <v>164</v>
      </c>
      <c r="F39" s="13" t="s">
        <v>165</v>
      </c>
      <c r="G39" s="13" t="s">
        <v>166</v>
      </c>
      <c r="H39" s="14" t="s">
        <v>19</v>
      </c>
      <c r="I39" s="15"/>
      <c r="J39" s="15"/>
      <c r="K39" s="15" t="s">
        <v>20</v>
      </c>
      <c r="L39" s="15"/>
    </row>
    <row r="40" spans="1:12" s="16" customFormat="1" ht="30" x14ac:dyDescent="0.25">
      <c r="A40" s="13" t="s">
        <v>167</v>
      </c>
      <c r="B40" s="13" t="s">
        <v>156</v>
      </c>
      <c r="C40" s="13" t="s">
        <v>14</v>
      </c>
      <c r="D40" s="13" t="s">
        <v>15</v>
      </c>
      <c r="E40" s="13" t="s">
        <v>168</v>
      </c>
      <c r="F40" s="13" t="s">
        <v>169</v>
      </c>
      <c r="G40" s="13" t="s">
        <v>170</v>
      </c>
      <c r="H40" s="14" t="s">
        <v>19</v>
      </c>
      <c r="I40" s="15"/>
      <c r="J40" s="15"/>
      <c r="K40" s="15" t="s">
        <v>20</v>
      </c>
      <c r="L40" s="15"/>
    </row>
    <row r="41" spans="1:12" s="16" customFormat="1" ht="30" x14ac:dyDescent="0.25">
      <c r="A41" s="13" t="s">
        <v>171</v>
      </c>
      <c r="B41" s="13" t="s">
        <v>156</v>
      </c>
      <c r="C41" s="13" t="s">
        <v>30</v>
      </c>
      <c r="D41" s="13" t="s">
        <v>15</v>
      </c>
      <c r="E41" s="13" t="s">
        <v>172</v>
      </c>
      <c r="F41" s="13" t="s">
        <v>173</v>
      </c>
      <c r="G41" s="13" t="s">
        <v>174</v>
      </c>
      <c r="H41" s="14" t="s">
        <v>19</v>
      </c>
      <c r="I41" s="15"/>
      <c r="J41" s="15"/>
      <c r="K41" s="15" t="s">
        <v>20</v>
      </c>
      <c r="L41" s="15"/>
    </row>
    <row r="42" spans="1:12" s="16" customFormat="1" ht="30" x14ac:dyDescent="0.25">
      <c r="A42" s="13" t="s">
        <v>175</v>
      </c>
      <c r="B42" s="13" t="s">
        <v>156</v>
      </c>
      <c r="C42" s="13" t="s">
        <v>30</v>
      </c>
      <c r="D42" s="13" t="s">
        <v>15</v>
      </c>
      <c r="E42" s="13" t="s">
        <v>172</v>
      </c>
      <c r="F42" s="13" t="s">
        <v>176</v>
      </c>
      <c r="G42" s="13" t="s">
        <v>177</v>
      </c>
      <c r="H42" s="14" t="s">
        <v>19</v>
      </c>
      <c r="I42" s="15"/>
      <c r="J42" s="15"/>
      <c r="K42" s="15" t="s">
        <v>20</v>
      </c>
      <c r="L42" s="15"/>
    </row>
    <row r="43" spans="1:12" s="16" customFormat="1" ht="30" x14ac:dyDescent="0.25">
      <c r="A43" s="13" t="s">
        <v>178</v>
      </c>
      <c r="B43" s="13" t="s">
        <v>156</v>
      </c>
      <c r="C43" s="13" t="s">
        <v>30</v>
      </c>
      <c r="D43" s="13" t="s">
        <v>15</v>
      </c>
      <c r="E43" s="13" t="s">
        <v>179</v>
      </c>
      <c r="F43" s="13" t="s">
        <v>180</v>
      </c>
      <c r="G43" s="13" t="s">
        <v>181</v>
      </c>
      <c r="H43" s="14" t="s">
        <v>19</v>
      </c>
      <c r="I43" s="15"/>
      <c r="J43" s="15"/>
      <c r="K43" s="15" t="s">
        <v>20</v>
      </c>
      <c r="L43" s="15"/>
    </row>
    <row r="44" spans="1:12" s="16" customFormat="1" ht="30" x14ac:dyDescent="0.25">
      <c r="A44" s="13" t="s">
        <v>182</v>
      </c>
      <c r="B44" s="13" t="s">
        <v>156</v>
      </c>
      <c r="C44" s="13" t="s">
        <v>14</v>
      </c>
      <c r="D44" s="13" t="s">
        <v>15</v>
      </c>
      <c r="E44" s="13" t="s">
        <v>172</v>
      </c>
      <c r="F44" s="13" t="s">
        <v>183</v>
      </c>
      <c r="G44" s="13" t="s">
        <v>184</v>
      </c>
      <c r="H44" s="14" t="s">
        <v>19</v>
      </c>
      <c r="I44" s="15"/>
      <c r="J44" s="15"/>
      <c r="K44" s="15" t="s">
        <v>20</v>
      </c>
      <c r="L44" s="15"/>
    </row>
    <row r="45" spans="1:12" s="16" customFormat="1" ht="30" x14ac:dyDescent="0.25">
      <c r="A45" s="13" t="s">
        <v>185</v>
      </c>
      <c r="B45" s="13" t="s">
        <v>156</v>
      </c>
      <c r="C45" s="13" t="s">
        <v>14</v>
      </c>
      <c r="D45" s="13" t="s">
        <v>15</v>
      </c>
      <c r="E45" s="13" t="s">
        <v>186</v>
      </c>
      <c r="F45" s="13" t="s">
        <v>187</v>
      </c>
      <c r="G45" s="13" t="s">
        <v>188</v>
      </c>
      <c r="H45" s="14" t="s">
        <v>19</v>
      </c>
      <c r="I45" s="15"/>
      <c r="J45" s="15"/>
      <c r="K45" s="15" t="s">
        <v>20</v>
      </c>
      <c r="L45" s="15"/>
    </row>
    <row r="46" spans="1:12" s="16" customFormat="1" ht="30" x14ac:dyDescent="0.25">
      <c r="A46" s="13" t="s">
        <v>189</v>
      </c>
      <c r="B46" s="13" t="s">
        <v>156</v>
      </c>
      <c r="C46" s="13" t="s">
        <v>14</v>
      </c>
      <c r="D46" s="13" t="s">
        <v>15</v>
      </c>
      <c r="E46" s="13" t="s">
        <v>186</v>
      </c>
      <c r="F46" s="13" t="s">
        <v>190</v>
      </c>
      <c r="G46" s="13" t="s">
        <v>191</v>
      </c>
      <c r="H46" s="14" t="s">
        <v>19</v>
      </c>
      <c r="I46" s="15"/>
      <c r="J46" s="15"/>
      <c r="K46" s="15" t="s">
        <v>20</v>
      </c>
      <c r="L46" s="15"/>
    </row>
    <row r="47" spans="1:12" s="16" customFormat="1" ht="30" x14ac:dyDescent="0.25">
      <c r="A47" s="13" t="s">
        <v>192</v>
      </c>
      <c r="B47" s="13" t="s">
        <v>156</v>
      </c>
      <c r="C47" s="13" t="s">
        <v>30</v>
      </c>
      <c r="D47" s="13" t="s">
        <v>15</v>
      </c>
      <c r="E47" s="13" t="s">
        <v>193</v>
      </c>
      <c r="F47" s="13" t="s">
        <v>194</v>
      </c>
      <c r="G47" s="13" t="s">
        <v>195</v>
      </c>
      <c r="H47" s="14" t="s">
        <v>19</v>
      </c>
      <c r="I47" s="15"/>
      <c r="J47" s="15"/>
      <c r="K47" s="15" t="s">
        <v>20</v>
      </c>
      <c r="L47" s="15"/>
    </row>
    <row r="48" spans="1:12" s="16" customFormat="1" ht="45" x14ac:dyDescent="0.25">
      <c r="A48" s="13" t="s">
        <v>196</v>
      </c>
      <c r="B48" s="13" t="s">
        <v>156</v>
      </c>
      <c r="C48" s="13" t="s">
        <v>14</v>
      </c>
      <c r="D48" s="13" t="s">
        <v>15</v>
      </c>
      <c r="E48" s="13" t="s">
        <v>197</v>
      </c>
      <c r="F48" s="13" t="s">
        <v>198</v>
      </c>
      <c r="G48" s="13" t="s">
        <v>199</v>
      </c>
      <c r="H48" s="14" t="s">
        <v>19</v>
      </c>
      <c r="I48" s="15"/>
      <c r="J48" s="15"/>
      <c r="K48" s="15" t="s">
        <v>20</v>
      </c>
      <c r="L48" s="15"/>
    </row>
    <row r="49" spans="1:12" s="16" customFormat="1" ht="30" x14ac:dyDescent="0.25">
      <c r="A49" s="13" t="s">
        <v>200</v>
      </c>
      <c r="B49" s="13" t="s">
        <v>201</v>
      </c>
      <c r="C49" s="13" t="s">
        <v>14</v>
      </c>
      <c r="D49" s="13" t="s">
        <v>15</v>
      </c>
      <c r="E49" s="13" t="s">
        <v>34</v>
      </c>
      <c r="F49" s="13" t="s">
        <v>202</v>
      </c>
      <c r="G49" s="13" t="s">
        <v>203</v>
      </c>
      <c r="H49" s="14" t="s">
        <v>19</v>
      </c>
      <c r="I49" s="15"/>
      <c r="J49" s="15"/>
      <c r="K49" s="15" t="s">
        <v>20</v>
      </c>
      <c r="L49" s="15"/>
    </row>
    <row r="50" spans="1:12" s="16" customFormat="1" x14ac:dyDescent="0.25">
      <c r="A50" s="13" t="s">
        <v>204</v>
      </c>
      <c r="B50" s="13" t="s">
        <v>201</v>
      </c>
      <c r="C50" s="13" t="s">
        <v>30</v>
      </c>
      <c r="D50" s="13" t="s">
        <v>15</v>
      </c>
      <c r="E50" s="13" t="s">
        <v>34</v>
      </c>
      <c r="F50" s="13" t="s">
        <v>205</v>
      </c>
      <c r="G50" s="13" t="s">
        <v>206</v>
      </c>
      <c r="H50" s="14" t="s">
        <v>19</v>
      </c>
      <c r="I50" s="15"/>
      <c r="J50" s="15"/>
      <c r="K50" s="15" t="s">
        <v>20</v>
      </c>
      <c r="L50" s="15"/>
    </row>
    <row r="51" spans="1:12" s="16" customFormat="1" ht="30" x14ac:dyDescent="0.25">
      <c r="A51" s="13" t="s">
        <v>207</v>
      </c>
      <c r="B51" s="13" t="s">
        <v>201</v>
      </c>
      <c r="C51" s="13" t="s">
        <v>14</v>
      </c>
      <c r="D51" s="13" t="s">
        <v>15</v>
      </c>
      <c r="E51" s="13" t="s">
        <v>157</v>
      </c>
      <c r="F51" s="13" t="s">
        <v>208</v>
      </c>
      <c r="G51" s="13" t="s">
        <v>209</v>
      </c>
      <c r="H51" s="14" t="s">
        <v>19</v>
      </c>
      <c r="I51" s="15"/>
      <c r="J51" s="15"/>
      <c r="K51" s="15" t="s">
        <v>20</v>
      </c>
      <c r="L51" s="15"/>
    </row>
    <row r="52" spans="1:12" s="16" customFormat="1" ht="30" x14ac:dyDescent="0.25">
      <c r="A52" s="13" t="s">
        <v>210</v>
      </c>
      <c r="B52" s="13" t="s">
        <v>201</v>
      </c>
      <c r="C52" s="13" t="s">
        <v>14</v>
      </c>
      <c r="D52" s="13" t="s">
        <v>15</v>
      </c>
      <c r="E52" s="13" t="s">
        <v>211</v>
      </c>
      <c r="F52" s="13" t="s">
        <v>208</v>
      </c>
      <c r="G52" s="13" t="s">
        <v>212</v>
      </c>
      <c r="H52" s="14" t="s">
        <v>19</v>
      </c>
      <c r="I52" s="15"/>
      <c r="J52" s="15"/>
      <c r="K52" s="15" t="s">
        <v>20</v>
      </c>
      <c r="L52" s="15"/>
    </row>
    <row r="53" spans="1:12" s="16" customFormat="1" x14ac:dyDescent="0.25">
      <c r="A53" s="13" t="s">
        <v>213</v>
      </c>
      <c r="B53" s="13" t="s">
        <v>201</v>
      </c>
      <c r="C53" s="13" t="s">
        <v>30</v>
      </c>
      <c r="D53" s="13" t="s">
        <v>15</v>
      </c>
      <c r="E53" s="13" t="s">
        <v>214</v>
      </c>
      <c r="F53" s="13" t="s">
        <v>215</v>
      </c>
      <c r="G53" s="13" t="s">
        <v>216</v>
      </c>
      <c r="H53" s="14" t="s">
        <v>19</v>
      </c>
      <c r="I53" s="15"/>
      <c r="J53" s="15"/>
      <c r="K53" s="15" t="s">
        <v>20</v>
      </c>
      <c r="L53" s="15"/>
    </row>
    <row r="54" spans="1:12" s="16" customFormat="1" ht="30" x14ac:dyDescent="0.25">
      <c r="A54" s="13" t="s">
        <v>217</v>
      </c>
      <c r="B54" s="13" t="s">
        <v>201</v>
      </c>
      <c r="C54" s="13" t="s">
        <v>30</v>
      </c>
      <c r="D54" s="13" t="s">
        <v>15</v>
      </c>
      <c r="E54" s="13" t="s">
        <v>218</v>
      </c>
      <c r="F54" s="13" t="s">
        <v>219</v>
      </c>
      <c r="G54" s="13" t="s">
        <v>220</v>
      </c>
      <c r="H54" s="14" t="s">
        <v>19</v>
      </c>
      <c r="I54" s="15"/>
      <c r="J54" s="15"/>
      <c r="K54" s="15" t="s">
        <v>20</v>
      </c>
      <c r="L54" s="15"/>
    </row>
    <row r="55" spans="1:12" s="16" customFormat="1" ht="30" x14ac:dyDescent="0.25">
      <c r="A55" s="13" t="s">
        <v>221</v>
      </c>
      <c r="B55" s="13" t="s">
        <v>201</v>
      </c>
      <c r="C55" s="13" t="s">
        <v>30</v>
      </c>
      <c r="D55" s="13" t="s">
        <v>15</v>
      </c>
      <c r="E55" s="13" t="s">
        <v>222</v>
      </c>
      <c r="F55" s="13" t="s">
        <v>223</v>
      </c>
      <c r="G55" s="13" t="s">
        <v>224</v>
      </c>
      <c r="H55" s="14" t="s">
        <v>19</v>
      </c>
      <c r="I55" s="15"/>
      <c r="J55" s="15"/>
      <c r="K55" s="15" t="s">
        <v>20</v>
      </c>
      <c r="L55" s="15"/>
    </row>
    <row r="56" spans="1:12" s="16" customFormat="1" ht="30" x14ac:dyDescent="0.25">
      <c r="A56" s="13" t="s">
        <v>225</v>
      </c>
      <c r="B56" s="13" t="s">
        <v>201</v>
      </c>
      <c r="C56" s="13" t="s">
        <v>14</v>
      </c>
      <c r="D56" s="13" t="s">
        <v>15</v>
      </c>
      <c r="E56" s="13" t="s">
        <v>34</v>
      </c>
      <c r="F56" s="13" t="s">
        <v>226</v>
      </c>
      <c r="G56" s="13" t="s">
        <v>227</v>
      </c>
      <c r="H56" s="14" t="s">
        <v>19</v>
      </c>
      <c r="I56" s="15"/>
      <c r="J56" s="15"/>
      <c r="K56" s="15" t="s">
        <v>20</v>
      </c>
      <c r="L56" s="15"/>
    </row>
    <row r="57" spans="1:12" s="16" customFormat="1" ht="30" x14ac:dyDescent="0.25">
      <c r="A57" s="13" t="s">
        <v>228</v>
      </c>
      <c r="B57" s="13" t="s">
        <v>201</v>
      </c>
      <c r="C57" s="13" t="s">
        <v>14</v>
      </c>
      <c r="D57" s="13" t="s">
        <v>15</v>
      </c>
      <c r="E57" s="13" t="s">
        <v>34</v>
      </c>
      <c r="F57" s="13" t="s">
        <v>229</v>
      </c>
      <c r="G57" s="13" t="s">
        <v>230</v>
      </c>
      <c r="H57" s="14" t="s">
        <v>19</v>
      </c>
      <c r="I57" s="15"/>
      <c r="J57" s="15"/>
      <c r="K57" s="15" t="s">
        <v>20</v>
      </c>
      <c r="L57" s="15"/>
    </row>
    <row r="58" spans="1:12" s="16" customFormat="1" ht="30" x14ac:dyDescent="0.25">
      <c r="A58" s="13" t="s">
        <v>231</v>
      </c>
      <c r="B58" s="13" t="s">
        <v>232</v>
      </c>
      <c r="C58" s="13" t="s">
        <v>14</v>
      </c>
      <c r="D58" s="13" t="s">
        <v>15</v>
      </c>
      <c r="E58" s="13" t="s">
        <v>233</v>
      </c>
      <c r="F58" s="13" t="s">
        <v>234</v>
      </c>
      <c r="G58" s="13" t="s">
        <v>235</v>
      </c>
      <c r="H58" s="14" t="s">
        <v>19</v>
      </c>
      <c r="I58" s="15"/>
      <c r="J58" s="15"/>
      <c r="K58" s="15" t="s">
        <v>20</v>
      </c>
      <c r="L58" s="15"/>
    </row>
    <row r="59" spans="1:12" s="16" customFormat="1" ht="30" x14ac:dyDescent="0.25">
      <c r="A59" s="13" t="s">
        <v>236</v>
      </c>
      <c r="B59" s="13" t="s">
        <v>232</v>
      </c>
      <c r="C59" s="13" t="s">
        <v>14</v>
      </c>
      <c r="D59" s="13" t="s">
        <v>15</v>
      </c>
      <c r="E59" s="13" t="s">
        <v>237</v>
      </c>
      <c r="F59" s="13" t="s">
        <v>238</v>
      </c>
      <c r="G59" s="13" t="s">
        <v>239</v>
      </c>
      <c r="H59" s="14" t="s">
        <v>19</v>
      </c>
      <c r="I59" s="15"/>
      <c r="J59" s="15"/>
      <c r="K59" s="15" t="s">
        <v>20</v>
      </c>
      <c r="L59" s="15"/>
    </row>
    <row r="60" spans="1:12" s="16" customFormat="1" ht="30" x14ac:dyDescent="0.25">
      <c r="A60" s="13" t="s">
        <v>240</v>
      </c>
      <c r="B60" s="13" t="s">
        <v>232</v>
      </c>
      <c r="C60" s="13" t="s">
        <v>30</v>
      </c>
      <c r="D60" s="13" t="s">
        <v>15</v>
      </c>
      <c r="E60" s="13" t="s">
        <v>241</v>
      </c>
      <c r="F60" s="13" t="s">
        <v>242</v>
      </c>
      <c r="G60" s="13" t="s">
        <v>243</v>
      </c>
      <c r="H60" s="14" t="s">
        <v>19</v>
      </c>
      <c r="I60" s="15"/>
      <c r="J60" s="15"/>
      <c r="K60" s="15" t="s">
        <v>20</v>
      </c>
      <c r="L60" s="15"/>
    </row>
    <row r="61" spans="1:12" s="16" customFormat="1" ht="30" x14ac:dyDescent="0.25">
      <c r="A61" s="13" t="s">
        <v>244</v>
      </c>
      <c r="B61" s="13" t="s">
        <v>245</v>
      </c>
      <c r="C61" s="13" t="s">
        <v>14</v>
      </c>
      <c r="D61" s="13" t="s">
        <v>15</v>
      </c>
      <c r="E61" s="13" t="s">
        <v>246</v>
      </c>
      <c r="F61" s="13" t="s">
        <v>247</v>
      </c>
      <c r="G61" s="13" t="s">
        <v>248</v>
      </c>
      <c r="H61" s="14" t="s">
        <v>19</v>
      </c>
      <c r="I61" s="15"/>
      <c r="J61" s="15"/>
      <c r="K61" s="15" t="s">
        <v>20</v>
      </c>
      <c r="L61" s="15"/>
    </row>
    <row r="62" spans="1:12" s="16" customFormat="1" ht="30" x14ac:dyDescent="0.25">
      <c r="A62" s="13" t="s">
        <v>249</v>
      </c>
      <c r="B62" s="13" t="s">
        <v>245</v>
      </c>
      <c r="C62" s="13" t="s">
        <v>14</v>
      </c>
      <c r="D62" s="13" t="s">
        <v>15</v>
      </c>
      <c r="E62" s="13" t="s">
        <v>250</v>
      </c>
      <c r="F62" s="13" t="s">
        <v>251</v>
      </c>
      <c r="G62" s="13" t="s">
        <v>252</v>
      </c>
      <c r="H62" s="14" t="s">
        <v>19</v>
      </c>
      <c r="I62" s="15"/>
      <c r="J62" s="15"/>
      <c r="K62" s="15" t="s">
        <v>20</v>
      </c>
      <c r="L62" s="15"/>
    </row>
    <row r="63" spans="1:12" s="16" customFormat="1" ht="30" x14ac:dyDescent="0.25">
      <c r="A63" s="13" t="s">
        <v>253</v>
      </c>
      <c r="B63" s="13" t="s">
        <v>245</v>
      </c>
      <c r="C63" s="13" t="s">
        <v>14</v>
      </c>
      <c r="D63" s="13" t="s">
        <v>15</v>
      </c>
      <c r="E63" s="13" t="s">
        <v>254</v>
      </c>
      <c r="F63" s="13" t="s">
        <v>255</v>
      </c>
      <c r="G63" s="13" t="s">
        <v>256</v>
      </c>
      <c r="H63" s="14" t="s">
        <v>19</v>
      </c>
      <c r="I63" s="15"/>
      <c r="J63" s="15"/>
      <c r="K63" s="15" t="s">
        <v>20</v>
      </c>
      <c r="L63" s="15"/>
    </row>
    <row r="64" spans="1:12" s="16" customFormat="1" ht="30" x14ac:dyDescent="0.25">
      <c r="A64" s="13" t="s">
        <v>257</v>
      </c>
      <c r="B64" s="13" t="s">
        <v>245</v>
      </c>
      <c r="C64" s="13" t="s">
        <v>30</v>
      </c>
      <c r="D64" s="13" t="s">
        <v>15</v>
      </c>
      <c r="E64" s="13" t="s">
        <v>258</v>
      </c>
      <c r="F64" s="13" t="s">
        <v>259</v>
      </c>
      <c r="G64" s="13" t="s">
        <v>260</v>
      </c>
      <c r="H64" s="14" t="s">
        <v>19</v>
      </c>
      <c r="I64" s="15"/>
      <c r="J64" s="15"/>
      <c r="K64" s="15" t="s">
        <v>20</v>
      </c>
      <c r="L64" s="15"/>
    </row>
    <row r="65" spans="1:12" s="16" customFormat="1" ht="30" x14ac:dyDescent="0.25">
      <c r="A65" s="13" t="s">
        <v>261</v>
      </c>
      <c r="B65" s="13" t="s">
        <v>262</v>
      </c>
      <c r="C65" s="13" t="s">
        <v>14</v>
      </c>
      <c r="D65" s="13" t="s">
        <v>15</v>
      </c>
      <c r="E65" s="13" t="s">
        <v>263</v>
      </c>
      <c r="F65" s="13" t="s">
        <v>264</v>
      </c>
      <c r="G65" s="13" t="s">
        <v>265</v>
      </c>
      <c r="H65" s="14" t="s">
        <v>19</v>
      </c>
      <c r="I65" s="15"/>
      <c r="J65" s="15"/>
      <c r="K65" s="15" t="s">
        <v>20</v>
      </c>
      <c r="L65" s="15"/>
    </row>
    <row r="66" spans="1:12" s="16" customFormat="1" ht="30" x14ac:dyDescent="0.25">
      <c r="A66" s="13" t="s">
        <v>266</v>
      </c>
      <c r="B66" s="13" t="s">
        <v>262</v>
      </c>
      <c r="C66" s="13" t="s">
        <v>14</v>
      </c>
      <c r="D66" s="13" t="s">
        <v>15</v>
      </c>
      <c r="E66" s="13" t="s">
        <v>267</v>
      </c>
      <c r="F66" s="13" t="s">
        <v>268</v>
      </c>
      <c r="G66" s="13" t="s">
        <v>269</v>
      </c>
      <c r="H66" s="14" t="s">
        <v>19</v>
      </c>
      <c r="I66" s="15"/>
      <c r="J66" s="15"/>
      <c r="K66" s="15" t="s">
        <v>20</v>
      </c>
      <c r="L66" s="15"/>
    </row>
    <row r="67" spans="1:12" s="16" customFormat="1" ht="30" x14ac:dyDescent="0.25">
      <c r="A67" s="13" t="s">
        <v>270</v>
      </c>
      <c r="B67" s="13" t="s">
        <v>262</v>
      </c>
      <c r="C67" s="13" t="s">
        <v>14</v>
      </c>
      <c r="D67" s="13" t="s">
        <v>15</v>
      </c>
      <c r="E67" s="13" t="s">
        <v>271</v>
      </c>
      <c r="F67" s="13" t="s">
        <v>272</v>
      </c>
      <c r="G67" s="13" t="s">
        <v>273</v>
      </c>
      <c r="H67" s="14" t="s">
        <v>19</v>
      </c>
      <c r="I67" s="15"/>
      <c r="J67" s="15"/>
      <c r="K67" s="15" t="s">
        <v>20</v>
      </c>
      <c r="L67" s="15"/>
    </row>
    <row r="68" spans="1:12" s="16" customFormat="1" ht="30" x14ac:dyDescent="0.25">
      <c r="A68" s="13" t="s">
        <v>274</v>
      </c>
      <c r="B68" s="13" t="s">
        <v>262</v>
      </c>
      <c r="C68" s="13" t="s">
        <v>14</v>
      </c>
      <c r="D68" s="13" t="s">
        <v>15</v>
      </c>
      <c r="E68" s="13" t="s">
        <v>275</v>
      </c>
      <c r="F68" s="13" t="s">
        <v>276</v>
      </c>
      <c r="G68" s="13" t="s">
        <v>277</v>
      </c>
      <c r="H68" s="14" t="s">
        <v>19</v>
      </c>
      <c r="I68" s="15"/>
      <c r="J68" s="15"/>
      <c r="K68" s="15" t="s">
        <v>20</v>
      </c>
      <c r="L68" s="15"/>
    </row>
    <row r="69" spans="1:12" s="16" customFormat="1" ht="45" x14ac:dyDescent="0.25">
      <c r="A69" s="13" t="s">
        <v>278</v>
      </c>
      <c r="B69" s="13" t="s">
        <v>262</v>
      </c>
      <c r="C69" s="13" t="s">
        <v>30</v>
      </c>
      <c r="D69" s="13" t="s">
        <v>15</v>
      </c>
      <c r="E69" s="13" t="s">
        <v>279</v>
      </c>
      <c r="F69" s="13" t="s">
        <v>280</v>
      </c>
      <c r="G69" s="13" t="s">
        <v>281</v>
      </c>
      <c r="H69" s="14" t="s">
        <v>19</v>
      </c>
      <c r="I69" s="15"/>
      <c r="J69" s="15"/>
      <c r="K69" s="15" t="s">
        <v>20</v>
      </c>
      <c r="L69" s="15"/>
    </row>
    <row r="70" spans="1:12" s="16" customFormat="1" x14ac:dyDescent="0.25">
      <c r="A70" s="13" t="s">
        <v>282</v>
      </c>
      <c r="B70" s="13" t="s">
        <v>262</v>
      </c>
      <c r="C70" s="13" t="s">
        <v>14</v>
      </c>
      <c r="D70" s="13" t="s">
        <v>15</v>
      </c>
      <c r="E70" s="13" t="s">
        <v>283</v>
      </c>
      <c r="F70" s="13" t="s">
        <v>284</v>
      </c>
      <c r="G70" s="13" t="s">
        <v>285</v>
      </c>
      <c r="H70" s="14" t="s">
        <v>19</v>
      </c>
      <c r="I70" s="15"/>
      <c r="J70" s="15"/>
      <c r="K70" s="15" t="s">
        <v>20</v>
      </c>
      <c r="L70" s="15"/>
    </row>
    <row r="71" spans="1:12" s="16" customFormat="1" x14ac:dyDescent="0.25">
      <c r="A71" s="13" t="s">
        <v>286</v>
      </c>
      <c r="B71" s="13" t="s">
        <v>287</v>
      </c>
      <c r="C71" s="13" t="s">
        <v>14</v>
      </c>
      <c r="D71" s="13" t="s">
        <v>15</v>
      </c>
      <c r="E71" s="13" t="s">
        <v>288</v>
      </c>
      <c r="F71" s="13" t="s">
        <v>289</v>
      </c>
      <c r="G71" s="13" t="s">
        <v>290</v>
      </c>
      <c r="H71" s="14" t="s">
        <v>19</v>
      </c>
      <c r="I71" s="15"/>
      <c r="J71" s="15"/>
      <c r="K71" s="15" t="s">
        <v>20</v>
      </c>
      <c r="L71" s="15"/>
    </row>
    <row r="72" spans="1:12" s="16" customFormat="1" x14ac:dyDescent="0.25">
      <c r="A72" s="13" t="s">
        <v>291</v>
      </c>
      <c r="B72" s="13" t="s">
        <v>287</v>
      </c>
      <c r="C72" s="13" t="s">
        <v>14</v>
      </c>
      <c r="D72" s="13" t="s">
        <v>15</v>
      </c>
      <c r="E72" s="13" t="s">
        <v>292</v>
      </c>
      <c r="F72" s="13" t="s">
        <v>293</v>
      </c>
      <c r="G72" s="13" t="s">
        <v>294</v>
      </c>
      <c r="H72" s="14" t="s">
        <v>19</v>
      </c>
      <c r="I72" s="15"/>
      <c r="J72" s="15"/>
      <c r="K72" s="15" t="s">
        <v>20</v>
      </c>
      <c r="L72" s="15"/>
    </row>
    <row r="73" spans="1:12" s="16" customFormat="1" x14ac:dyDescent="0.25">
      <c r="A73" s="13" t="s">
        <v>295</v>
      </c>
      <c r="B73" s="13" t="s">
        <v>287</v>
      </c>
      <c r="C73" s="13" t="s">
        <v>14</v>
      </c>
      <c r="D73" s="13" t="s">
        <v>15</v>
      </c>
      <c r="E73" s="13" t="s">
        <v>292</v>
      </c>
      <c r="F73" s="13" t="s">
        <v>296</v>
      </c>
      <c r="G73" s="13" t="s">
        <v>297</v>
      </c>
      <c r="H73" s="14" t="s">
        <v>19</v>
      </c>
      <c r="I73" s="15"/>
      <c r="J73" s="15"/>
      <c r="K73" s="15" t="s">
        <v>20</v>
      </c>
      <c r="L73" s="15"/>
    </row>
    <row r="74" spans="1:12" s="16" customFormat="1" ht="30" x14ac:dyDescent="0.25">
      <c r="A74" s="13" t="s">
        <v>298</v>
      </c>
      <c r="B74" s="13" t="s">
        <v>287</v>
      </c>
      <c r="C74" s="13" t="s">
        <v>14</v>
      </c>
      <c r="D74" s="13" t="s">
        <v>15</v>
      </c>
      <c r="E74" s="13" t="s">
        <v>299</v>
      </c>
      <c r="F74" s="13" t="s">
        <v>300</v>
      </c>
      <c r="G74" s="13" t="s">
        <v>301</v>
      </c>
      <c r="H74" s="14" t="s">
        <v>19</v>
      </c>
      <c r="I74" s="15"/>
      <c r="J74" s="15"/>
      <c r="K74" s="15" t="s">
        <v>20</v>
      </c>
      <c r="L74" s="15"/>
    </row>
    <row r="75" spans="1:12" s="16" customFormat="1" ht="30" x14ac:dyDescent="0.25">
      <c r="A75" s="13" t="s">
        <v>302</v>
      </c>
      <c r="B75" s="13" t="s">
        <v>287</v>
      </c>
      <c r="C75" s="13" t="s">
        <v>30</v>
      </c>
      <c r="D75" s="13" t="s">
        <v>15</v>
      </c>
      <c r="E75" s="13" t="s">
        <v>303</v>
      </c>
      <c r="F75" s="13" t="s">
        <v>304</v>
      </c>
      <c r="G75" s="13" t="s">
        <v>305</v>
      </c>
      <c r="H75" s="14" t="s">
        <v>19</v>
      </c>
      <c r="I75" s="15"/>
      <c r="J75" s="15"/>
      <c r="K75" s="15" t="s">
        <v>20</v>
      </c>
      <c r="L75" s="15"/>
    </row>
    <row r="76" spans="1:12" s="16" customFormat="1" ht="30" x14ac:dyDescent="0.25">
      <c r="A76" s="13" t="s">
        <v>306</v>
      </c>
      <c r="B76" s="13" t="s">
        <v>287</v>
      </c>
      <c r="C76" s="13" t="s">
        <v>30</v>
      </c>
      <c r="D76" s="13" t="s">
        <v>15</v>
      </c>
      <c r="E76" s="13" t="s">
        <v>303</v>
      </c>
      <c r="F76" s="13" t="s">
        <v>307</v>
      </c>
      <c r="G76" s="13" t="s">
        <v>308</v>
      </c>
      <c r="H76" s="14" t="s">
        <v>19</v>
      </c>
      <c r="I76" s="15"/>
      <c r="J76" s="15"/>
      <c r="K76" s="15" t="s">
        <v>20</v>
      </c>
      <c r="L76" s="15"/>
    </row>
    <row r="77" spans="1:12" s="16" customFormat="1" ht="30" x14ac:dyDescent="0.25">
      <c r="A77" s="13" t="s">
        <v>309</v>
      </c>
      <c r="B77" s="13" t="s">
        <v>310</v>
      </c>
      <c r="C77" s="13" t="s">
        <v>30</v>
      </c>
      <c r="D77" s="13" t="s">
        <v>311</v>
      </c>
      <c r="E77" s="13" t="s">
        <v>312</v>
      </c>
      <c r="F77" s="13" t="s">
        <v>313</v>
      </c>
      <c r="G77" s="13" t="s">
        <v>314</v>
      </c>
      <c r="H77" s="14" t="s">
        <v>19</v>
      </c>
      <c r="I77" s="15"/>
      <c r="J77" s="15"/>
      <c r="K77" s="15" t="s">
        <v>20</v>
      </c>
      <c r="L77" s="15"/>
    </row>
    <row r="78" spans="1:12" s="16" customFormat="1" ht="30" x14ac:dyDescent="0.25">
      <c r="A78" s="13" t="s">
        <v>315</v>
      </c>
      <c r="B78" s="13" t="s">
        <v>310</v>
      </c>
      <c r="C78" s="13" t="s">
        <v>30</v>
      </c>
      <c r="D78" s="13" t="s">
        <v>316</v>
      </c>
      <c r="E78" s="13" t="s">
        <v>317</v>
      </c>
      <c r="F78" s="13" t="s">
        <v>313</v>
      </c>
      <c r="G78" s="13" t="s">
        <v>314</v>
      </c>
      <c r="H78" s="14" t="s">
        <v>19</v>
      </c>
      <c r="I78" s="15"/>
      <c r="J78" s="15"/>
      <c r="K78" s="15" t="s">
        <v>20</v>
      </c>
      <c r="L78" s="15"/>
    </row>
  </sheetData>
  <autoFilter ref="A1:L78" xr:uid="{00000000-0009-0000-0000-000000000000}"/>
  <conditionalFormatting sqref="H2:H78">
    <cfRule type="expression" dxfId="3" priority="1">
      <formula>$H2="PASS"</formula>
    </cfRule>
    <cfRule type="expression" dxfId="2" priority="2">
      <formula>$H2="FAIL"</formula>
    </cfRule>
    <cfRule type="expression" dxfId="1" priority="3">
      <formula>$H2="BLOCKED"</formula>
    </cfRule>
    <cfRule type="expression" dxfId="0" priority="4">
      <formula>$H2="N/A"</formula>
    </cfRule>
  </conditionalFormatting>
  <dataValidations count="2">
    <dataValidation type="list" sqref="H2:H78" xr:uid="{00000000-0002-0000-0000-000000000000}">
      <formula1>"CHƯA CHẠY,ĐẠT,KHÔNG ĐẠT,BỊ CHẶN,KHÔNG ÁP DỤNG"</formula1>
    </dataValidation>
    <dataValidation type="list" sqref="K2:K78" xr:uid="{00000000-0002-0000-0000-000001000000}">
      <formula1>"KHÔNG,CÓ,ĐẠT,KHÔNG ĐẠT,KHÔNG ÁP DỤNG"</formula1>
    </dataValidation>
  </dataValidations>
  <pageMargins left="0.75" right="0.75" top="1" bottom="1" header="0.5" footer="0.5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showGridLines="0" workbookViewId="0">
      <selection sqref="A1:F1"/>
    </sheetView>
  </sheetViews>
  <sheetFormatPr defaultRowHeight="15" x14ac:dyDescent="0.25"/>
  <cols>
    <col min="1" max="1" width="24" customWidth="1"/>
    <col min="2" max="2" width="62" customWidth="1"/>
    <col min="3" max="3" width="4" customWidth="1"/>
    <col min="4" max="4" width="18" customWidth="1"/>
    <col min="5" max="5" width="16" customWidth="1"/>
    <col min="6" max="6" width="4" customWidth="1"/>
  </cols>
  <sheetData>
    <row r="1" spans="1:6" ht="30" customHeight="1" x14ac:dyDescent="0.35">
      <c r="A1" s="11" t="s">
        <v>318</v>
      </c>
      <c r="B1" s="10"/>
      <c r="C1" s="10"/>
      <c r="D1" s="10"/>
      <c r="E1" s="10"/>
      <c r="F1" s="10"/>
    </row>
    <row r="3" spans="1:6" x14ac:dyDescent="0.25">
      <c r="A3" s="2" t="s">
        <v>319</v>
      </c>
      <c r="B3" s="3" t="s">
        <v>320</v>
      </c>
      <c r="D3" s="2" t="s">
        <v>321</v>
      </c>
      <c r="E3">
        <f>COUNTA('Ca kiểm thử thủ công'!A2:A78)</f>
        <v>77</v>
      </c>
    </row>
    <row r="4" spans="1:6" x14ac:dyDescent="0.25">
      <c r="A4" s="2" t="s">
        <v>322</v>
      </c>
      <c r="B4" s="3" t="s">
        <v>323</v>
      </c>
      <c r="D4" s="2" t="s">
        <v>324</v>
      </c>
      <c r="E4">
        <f>COUNTIF('Ca kiểm thử thủ công'!H2:H78,"ĐẠT")</f>
        <v>0</v>
      </c>
    </row>
    <row r="5" spans="1:6" x14ac:dyDescent="0.25">
      <c r="A5" s="2" t="s">
        <v>325</v>
      </c>
      <c r="B5" s="3" t="s">
        <v>326</v>
      </c>
      <c r="D5" s="2" t="s">
        <v>327</v>
      </c>
      <c r="E5">
        <f>COUNTIF('Ca kiểm thử thủ công'!H2:H78,"KHÔNG ĐẠT")</f>
        <v>0</v>
      </c>
    </row>
    <row r="6" spans="1:6" x14ac:dyDescent="0.25">
      <c r="D6" s="2" t="s">
        <v>328</v>
      </c>
      <c r="E6">
        <f>COUNTIF('Ca kiểm thử thủ công'!H2:H78,"BỊ CHẶN")</f>
        <v>0</v>
      </c>
    </row>
    <row r="7" spans="1:6" x14ac:dyDescent="0.25">
      <c r="D7" s="2" t="s">
        <v>19</v>
      </c>
      <c r="E7">
        <f>COUNTIF('Ca kiểm thử thủ công'!H2:H78,"CHƯA CHẠY")</f>
        <v>77</v>
      </c>
    </row>
    <row r="8" spans="1:6" x14ac:dyDescent="0.25">
      <c r="A8" s="4" t="s">
        <v>329</v>
      </c>
      <c r="B8" t="s">
        <v>330</v>
      </c>
      <c r="D8" s="2" t="s">
        <v>331</v>
      </c>
      <c r="E8">
        <f>COUNTIF('Ca kiểm thử thủ công'!H2:H78,"KHÔNG ÁP DỤNG")</f>
        <v>0</v>
      </c>
    </row>
    <row r="9" spans="1:6" x14ac:dyDescent="0.25">
      <c r="A9" s="9" t="s">
        <v>332</v>
      </c>
      <c r="B9" s="10"/>
      <c r="D9" t="s">
        <v>333</v>
      </c>
      <c r="E9">
        <f>IFERROR((E3-E7)/E3,0)</f>
        <v>0</v>
      </c>
    </row>
    <row r="10" spans="1:6" x14ac:dyDescent="0.25">
      <c r="A10" s="10"/>
      <c r="B10" s="10"/>
      <c r="D10" s="5" t="s">
        <v>334</v>
      </c>
      <c r="E10" s="6">
        <f>IFERROR(E4/(E3-E8),0)</f>
        <v>0</v>
      </c>
    </row>
    <row r="11" spans="1:6" x14ac:dyDescent="0.25">
      <c r="A11" s="10"/>
      <c r="B11" s="10"/>
    </row>
    <row r="12" spans="1:6" x14ac:dyDescent="0.25">
      <c r="A12" s="10"/>
      <c r="B12" s="10"/>
      <c r="D12" t="s">
        <v>335</v>
      </c>
      <c r="E12" s="5" t="str">
        <f>IF(E5&gt;0,"NO-GO",IF(E6&gt;0,"BLOCKED",IF(E7&gt;0,"INCOMPLETE","GO")))</f>
        <v>INCOMPLETE</v>
      </c>
    </row>
    <row r="13" spans="1:6" x14ac:dyDescent="0.25">
      <c r="A13" s="10"/>
      <c r="B13" s="10"/>
    </row>
  </sheetData>
  <mergeCells count="2">
    <mergeCell ref="A9:B13"/>
    <mergeCell ref="A1:F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6" width="10" customWidth="1"/>
    <col min="7" max="8" width="12" customWidth="1"/>
    <col min="9" max="9" width="14" customWidth="1"/>
  </cols>
  <sheetData>
    <row r="1" spans="1:9" x14ac:dyDescent="0.25">
      <c r="A1" s="7" t="s">
        <v>1</v>
      </c>
      <c r="B1" s="7" t="s">
        <v>321</v>
      </c>
      <c r="C1" s="7" t="s">
        <v>14</v>
      </c>
      <c r="D1" s="7" t="s">
        <v>30</v>
      </c>
      <c r="E1" s="7" t="s">
        <v>324</v>
      </c>
      <c r="F1" s="7" t="s">
        <v>327</v>
      </c>
      <c r="G1" s="7" t="s">
        <v>328</v>
      </c>
      <c r="H1" s="7" t="s">
        <v>19</v>
      </c>
      <c r="I1" s="7" t="s">
        <v>336</v>
      </c>
    </row>
    <row r="2" spans="1:9" x14ac:dyDescent="0.25">
      <c r="A2" t="s">
        <v>13</v>
      </c>
      <c r="B2">
        <f>COUNTIF('Ca kiểm thử thủ công'!B:B,A2)</f>
        <v>5</v>
      </c>
      <c r="C2">
        <f>COUNTIFS('Ca kiểm thử thủ công'!B:B,A2,'Ca kiểm thử thủ công'!C:C,"P0")</f>
        <v>4</v>
      </c>
      <c r="D2">
        <f>COUNTIFS('Ca kiểm thử thủ công'!B:B,A2,'Ca kiểm thử thủ công'!C:C,"P1")</f>
        <v>1</v>
      </c>
      <c r="E2">
        <f>COUNTIFS('Ca kiểm thử thủ công'!B:B,A2,'Ca kiểm thử thủ công'!H:H,"ĐẠT")</f>
        <v>0</v>
      </c>
      <c r="F2">
        <f>COUNTIFS('Ca kiểm thử thủ công'!B:B,A2,'Ca kiểm thử thủ công'!H:H,"KHÔNG ĐẠT")</f>
        <v>0</v>
      </c>
      <c r="G2">
        <f>COUNTIFS('Ca kiểm thử thủ công'!B:B,A2,'Ca kiểm thử thủ công'!H:H,"BỊ CHẶN")</f>
        <v>0</v>
      </c>
      <c r="H2">
        <f>COUNTIFS('Ca kiểm thử thủ công'!B:B,A2,'Ca kiểm thử thủ công'!H:H,"CHƯA CHẠY")</f>
        <v>5</v>
      </c>
      <c r="I2" s="6">
        <f t="shared" ref="I2:I15" si="0">IFERROR((B2-H2)/B2,0)</f>
        <v>0</v>
      </c>
    </row>
    <row r="3" spans="1:9" x14ac:dyDescent="0.25">
      <c r="A3" t="s">
        <v>38</v>
      </c>
      <c r="B3">
        <f>COUNTIF('Ca kiểm thử thủ công'!B:B,A3)</f>
        <v>3</v>
      </c>
      <c r="C3">
        <f>COUNTIFS('Ca kiểm thử thủ công'!B:B,A3,'Ca kiểm thử thủ công'!C:C,"P0")</f>
        <v>3</v>
      </c>
      <c r="D3">
        <f>COUNTIFS('Ca kiểm thử thủ công'!B:B,A3,'Ca kiểm thử thủ công'!C:C,"P1")</f>
        <v>0</v>
      </c>
      <c r="E3">
        <f>COUNTIFS('Ca kiểm thử thủ công'!B:B,A3,'Ca kiểm thử thủ công'!H:H,"ĐẠT")</f>
        <v>0</v>
      </c>
      <c r="F3">
        <f>COUNTIFS('Ca kiểm thử thủ công'!B:B,A3,'Ca kiểm thử thủ công'!H:H,"KHÔNG ĐẠT")</f>
        <v>0</v>
      </c>
      <c r="G3">
        <f>COUNTIFS('Ca kiểm thử thủ công'!B:B,A3,'Ca kiểm thử thủ công'!H:H,"BỊ CHẶN")</f>
        <v>0</v>
      </c>
      <c r="H3">
        <f>COUNTIFS('Ca kiểm thử thủ công'!B:B,A3,'Ca kiểm thử thủ công'!H:H,"CHƯA CHẠY")</f>
        <v>3</v>
      </c>
      <c r="I3" s="6">
        <f t="shared" si="0"/>
        <v>0</v>
      </c>
    </row>
    <row r="4" spans="1:9" x14ac:dyDescent="0.25">
      <c r="A4" t="s">
        <v>49</v>
      </c>
      <c r="B4">
        <f>COUNTIF('Ca kiểm thử thủ công'!B:B,A4)</f>
        <v>4</v>
      </c>
      <c r="C4">
        <f>COUNTIFS('Ca kiểm thử thủ công'!B:B,A4,'Ca kiểm thử thủ công'!C:C,"P0")</f>
        <v>4</v>
      </c>
      <c r="D4">
        <f>COUNTIFS('Ca kiểm thử thủ công'!B:B,A4,'Ca kiểm thử thủ công'!C:C,"P1")</f>
        <v>0</v>
      </c>
      <c r="E4">
        <f>COUNTIFS('Ca kiểm thử thủ công'!B:B,A4,'Ca kiểm thử thủ công'!H:H,"ĐẠT")</f>
        <v>0</v>
      </c>
      <c r="F4">
        <f>COUNTIFS('Ca kiểm thử thủ công'!B:B,A4,'Ca kiểm thử thủ công'!H:H,"KHÔNG ĐẠT")</f>
        <v>0</v>
      </c>
      <c r="G4">
        <f>COUNTIFS('Ca kiểm thử thủ công'!B:B,A4,'Ca kiểm thử thủ công'!H:H,"BỊ CHẶN")</f>
        <v>0</v>
      </c>
      <c r="H4">
        <f>COUNTIFS('Ca kiểm thử thủ công'!B:B,A4,'Ca kiểm thử thủ công'!H:H,"CHƯA CHẠY")</f>
        <v>4</v>
      </c>
      <c r="I4" s="6">
        <f t="shared" si="0"/>
        <v>0</v>
      </c>
    </row>
    <row r="5" spans="1:9" x14ac:dyDescent="0.25">
      <c r="A5" t="s">
        <v>65</v>
      </c>
      <c r="B5">
        <f>COUNTIF('Ca kiểm thử thủ công'!B:B,A5)</f>
        <v>6</v>
      </c>
      <c r="C5">
        <f>COUNTIFS('Ca kiểm thử thủ công'!B:B,A5,'Ca kiểm thử thủ công'!C:C,"P0")</f>
        <v>3</v>
      </c>
      <c r="D5">
        <f>COUNTIFS('Ca kiểm thử thủ công'!B:B,A5,'Ca kiểm thử thủ công'!C:C,"P1")</f>
        <v>3</v>
      </c>
      <c r="E5">
        <f>COUNTIFS('Ca kiểm thử thủ công'!B:B,A5,'Ca kiểm thử thủ công'!H:H,"ĐẠT")</f>
        <v>0</v>
      </c>
      <c r="F5">
        <f>COUNTIFS('Ca kiểm thử thủ công'!B:B,A5,'Ca kiểm thử thủ công'!H:H,"KHÔNG ĐẠT")</f>
        <v>0</v>
      </c>
      <c r="G5">
        <f>COUNTIFS('Ca kiểm thử thủ công'!B:B,A5,'Ca kiểm thử thủ công'!H:H,"BỊ CHẶN")</f>
        <v>0</v>
      </c>
      <c r="H5">
        <f>COUNTIFS('Ca kiểm thử thủ công'!B:B,A5,'Ca kiểm thử thủ công'!H:H,"CHƯA CHẠY")</f>
        <v>6</v>
      </c>
      <c r="I5" s="6">
        <f t="shared" si="0"/>
        <v>0</v>
      </c>
    </row>
    <row r="6" spans="1:9" x14ac:dyDescent="0.25">
      <c r="A6" t="s">
        <v>88</v>
      </c>
      <c r="B6">
        <f>COUNTIF('Ca kiểm thử thủ công'!B:B,A6)</f>
        <v>8</v>
      </c>
      <c r="C6">
        <f>COUNTIFS('Ca kiểm thử thủ công'!B:B,A6,'Ca kiểm thử thủ công'!C:C,"P0")</f>
        <v>3</v>
      </c>
      <c r="D6">
        <f>COUNTIFS('Ca kiểm thử thủ công'!B:B,A6,'Ca kiểm thử thủ công'!C:C,"P1")</f>
        <v>5</v>
      </c>
      <c r="E6">
        <f>COUNTIFS('Ca kiểm thử thủ công'!B:B,A6,'Ca kiểm thử thủ công'!H:H,"ĐẠT")</f>
        <v>0</v>
      </c>
      <c r="F6">
        <f>COUNTIFS('Ca kiểm thử thủ công'!B:B,A6,'Ca kiểm thử thủ công'!H:H,"KHÔNG ĐẠT")</f>
        <v>0</v>
      </c>
      <c r="G6">
        <f>COUNTIFS('Ca kiểm thử thủ công'!B:B,A6,'Ca kiểm thử thủ công'!H:H,"BỊ CHẶN")</f>
        <v>0</v>
      </c>
      <c r="H6">
        <f>COUNTIFS('Ca kiểm thử thủ công'!B:B,A6,'Ca kiểm thử thủ công'!H:H,"CHƯA CHẠY")</f>
        <v>8</v>
      </c>
      <c r="I6" s="6">
        <f t="shared" si="0"/>
        <v>0</v>
      </c>
    </row>
    <row r="7" spans="1:9" x14ac:dyDescent="0.25">
      <c r="A7" t="s">
        <v>120</v>
      </c>
      <c r="B7">
        <f>COUNTIF('Ca kiểm thử thủ công'!B:B,A7)</f>
        <v>1</v>
      </c>
      <c r="C7">
        <f>COUNTIFS('Ca kiểm thử thủ công'!B:B,A7,'Ca kiểm thử thủ công'!C:C,"P0")</f>
        <v>0</v>
      </c>
      <c r="D7">
        <f>COUNTIFS('Ca kiểm thử thủ công'!B:B,A7,'Ca kiểm thử thủ công'!C:C,"P1")</f>
        <v>1</v>
      </c>
      <c r="E7">
        <f>COUNTIFS('Ca kiểm thử thủ công'!B:B,A7,'Ca kiểm thử thủ công'!H:H,"ĐẠT")</f>
        <v>0</v>
      </c>
      <c r="F7">
        <f>COUNTIFS('Ca kiểm thử thủ công'!B:B,A7,'Ca kiểm thử thủ công'!H:H,"KHÔNG ĐẠT")</f>
        <v>0</v>
      </c>
      <c r="G7">
        <f>COUNTIFS('Ca kiểm thử thủ công'!B:B,A7,'Ca kiểm thử thủ công'!H:H,"BỊ CHẶN")</f>
        <v>0</v>
      </c>
      <c r="H7">
        <f>COUNTIFS('Ca kiểm thử thủ công'!B:B,A7,'Ca kiểm thử thủ công'!H:H,"CHƯA CHẠY")</f>
        <v>1</v>
      </c>
      <c r="I7" s="6">
        <f t="shared" si="0"/>
        <v>0</v>
      </c>
    </row>
    <row r="8" spans="1:9" x14ac:dyDescent="0.25">
      <c r="A8" t="s">
        <v>125</v>
      </c>
      <c r="B8">
        <f>COUNTIF('Ca kiểm thử thủ công'!B:B,A8)</f>
        <v>8</v>
      </c>
      <c r="C8">
        <f>COUNTIFS('Ca kiểm thử thủ công'!B:B,A8,'Ca kiểm thử thủ công'!C:C,"P0")</f>
        <v>5</v>
      </c>
      <c r="D8">
        <f>COUNTIFS('Ca kiểm thử thủ công'!B:B,A8,'Ca kiểm thử thủ công'!C:C,"P1")</f>
        <v>3</v>
      </c>
      <c r="E8">
        <f>COUNTIFS('Ca kiểm thử thủ công'!B:B,A8,'Ca kiểm thử thủ công'!H:H,"ĐẠT")</f>
        <v>0</v>
      </c>
      <c r="F8">
        <f>COUNTIFS('Ca kiểm thử thủ công'!B:B,A8,'Ca kiểm thử thủ công'!H:H,"KHÔNG ĐẠT")</f>
        <v>0</v>
      </c>
      <c r="G8">
        <f>COUNTIFS('Ca kiểm thử thủ công'!B:B,A8,'Ca kiểm thử thủ công'!H:H,"BỊ CHẶN")</f>
        <v>0</v>
      </c>
      <c r="H8">
        <f>COUNTIFS('Ca kiểm thử thủ công'!B:B,A8,'Ca kiểm thử thủ công'!H:H,"CHƯA CHẠY")</f>
        <v>8</v>
      </c>
      <c r="I8" s="6">
        <f t="shared" si="0"/>
        <v>0</v>
      </c>
    </row>
    <row r="9" spans="1:9" x14ac:dyDescent="0.25">
      <c r="A9" t="s">
        <v>156</v>
      </c>
      <c r="B9">
        <f>COUNTIF('Ca kiểm thử thủ công'!B:B,A9)</f>
        <v>12</v>
      </c>
      <c r="C9">
        <f>COUNTIFS('Ca kiểm thử thủ công'!B:B,A9,'Ca kiểm thử thủ công'!C:C,"P0")</f>
        <v>8</v>
      </c>
      <c r="D9">
        <f>COUNTIFS('Ca kiểm thử thủ công'!B:B,A9,'Ca kiểm thử thủ công'!C:C,"P1")</f>
        <v>4</v>
      </c>
      <c r="E9">
        <f>COUNTIFS('Ca kiểm thử thủ công'!B:B,A9,'Ca kiểm thử thủ công'!H:H,"ĐẠT")</f>
        <v>0</v>
      </c>
      <c r="F9">
        <f>COUNTIFS('Ca kiểm thử thủ công'!B:B,A9,'Ca kiểm thử thủ công'!H:H,"KHÔNG ĐẠT")</f>
        <v>0</v>
      </c>
      <c r="G9">
        <f>COUNTIFS('Ca kiểm thử thủ công'!B:B,A9,'Ca kiểm thử thủ công'!H:H,"BỊ CHẶN")</f>
        <v>0</v>
      </c>
      <c r="H9">
        <f>COUNTIFS('Ca kiểm thử thủ công'!B:B,A9,'Ca kiểm thử thủ công'!H:H,"CHƯA CHẠY")</f>
        <v>12</v>
      </c>
      <c r="I9" s="6">
        <f t="shared" si="0"/>
        <v>0</v>
      </c>
    </row>
    <row r="10" spans="1:9" x14ac:dyDescent="0.25">
      <c r="A10" t="s">
        <v>201</v>
      </c>
      <c r="B10">
        <f>COUNTIF('Ca kiểm thử thủ công'!B:B,A10)</f>
        <v>9</v>
      </c>
      <c r="C10">
        <f>COUNTIFS('Ca kiểm thử thủ công'!B:B,A10,'Ca kiểm thử thủ công'!C:C,"P0")</f>
        <v>5</v>
      </c>
      <c r="D10">
        <f>COUNTIFS('Ca kiểm thử thủ công'!B:B,A10,'Ca kiểm thử thủ công'!C:C,"P1")</f>
        <v>4</v>
      </c>
      <c r="E10">
        <f>COUNTIFS('Ca kiểm thử thủ công'!B:B,A10,'Ca kiểm thử thủ công'!H:H,"ĐẠT")</f>
        <v>0</v>
      </c>
      <c r="F10">
        <f>COUNTIFS('Ca kiểm thử thủ công'!B:B,A10,'Ca kiểm thử thủ công'!H:H,"KHÔNG ĐẠT")</f>
        <v>0</v>
      </c>
      <c r="G10">
        <f>COUNTIFS('Ca kiểm thử thủ công'!B:B,A10,'Ca kiểm thử thủ công'!H:H,"BỊ CHẶN")</f>
        <v>0</v>
      </c>
      <c r="H10">
        <f>COUNTIFS('Ca kiểm thử thủ công'!B:B,A10,'Ca kiểm thử thủ công'!H:H,"CHƯA CHẠY")</f>
        <v>9</v>
      </c>
      <c r="I10" s="6">
        <f t="shared" si="0"/>
        <v>0</v>
      </c>
    </row>
    <row r="11" spans="1:9" x14ac:dyDescent="0.25">
      <c r="A11" t="s">
        <v>232</v>
      </c>
      <c r="B11">
        <f>COUNTIF('Ca kiểm thử thủ công'!B:B,A11)</f>
        <v>3</v>
      </c>
      <c r="C11">
        <f>COUNTIFS('Ca kiểm thử thủ công'!B:B,A11,'Ca kiểm thử thủ công'!C:C,"P0")</f>
        <v>2</v>
      </c>
      <c r="D11">
        <f>COUNTIFS('Ca kiểm thử thủ công'!B:B,A11,'Ca kiểm thử thủ công'!C:C,"P1")</f>
        <v>1</v>
      </c>
      <c r="E11">
        <f>COUNTIFS('Ca kiểm thử thủ công'!B:B,A11,'Ca kiểm thử thủ công'!H:H,"ĐẠT")</f>
        <v>0</v>
      </c>
      <c r="F11">
        <f>COUNTIFS('Ca kiểm thử thủ công'!B:B,A11,'Ca kiểm thử thủ công'!H:H,"KHÔNG ĐẠT")</f>
        <v>0</v>
      </c>
      <c r="G11">
        <f>COUNTIFS('Ca kiểm thử thủ công'!B:B,A11,'Ca kiểm thử thủ công'!H:H,"BỊ CHẶN")</f>
        <v>0</v>
      </c>
      <c r="H11">
        <f>COUNTIFS('Ca kiểm thử thủ công'!B:B,A11,'Ca kiểm thử thủ công'!H:H,"CHƯA CHẠY")</f>
        <v>3</v>
      </c>
      <c r="I11" s="6">
        <f t="shared" si="0"/>
        <v>0</v>
      </c>
    </row>
    <row r="12" spans="1:9" x14ac:dyDescent="0.25">
      <c r="A12" t="s">
        <v>245</v>
      </c>
      <c r="B12">
        <f>COUNTIF('Ca kiểm thử thủ công'!B:B,A12)</f>
        <v>4</v>
      </c>
      <c r="C12">
        <f>COUNTIFS('Ca kiểm thử thủ công'!B:B,A12,'Ca kiểm thử thủ công'!C:C,"P0")</f>
        <v>3</v>
      </c>
      <c r="D12">
        <f>COUNTIFS('Ca kiểm thử thủ công'!B:B,A12,'Ca kiểm thử thủ công'!C:C,"P1")</f>
        <v>1</v>
      </c>
      <c r="E12">
        <f>COUNTIFS('Ca kiểm thử thủ công'!B:B,A12,'Ca kiểm thử thủ công'!H:H,"ĐẠT")</f>
        <v>0</v>
      </c>
      <c r="F12">
        <f>COUNTIFS('Ca kiểm thử thủ công'!B:B,A12,'Ca kiểm thử thủ công'!H:H,"KHÔNG ĐẠT")</f>
        <v>0</v>
      </c>
      <c r="G12">
        <f>COUNTIFS('Ca kiểm thử thủ công'!B:B,A12,'Ca kiểm thử thủ công'!H:H,"BỊ CHẶN")</f>
        <v>0</v>
      </c>
      <c r="H12">
        <f>COUNTIFS('Ca kiểm thử thủ công'!B:B,A12,'Ca kiểm thử thủ công'!H:H,"CHƯA CHẠY")</f>
        <v>4</v>
      </c>
      <c r="I12" s="6">
        <f t="shared" si="0"/>
        <v>0</v>
      </c>
    </row>
    <row r="13" spans="1:9" x14ac:dyDescent="0.25">
      <c r="A13" t="s">
        <v>262</v>
      </c>
      <c r="B13">
        <f>COUNTIF('Ca kiểm thử thủ công'!B:B,A13)</f>
        <v>6</v>
      </c>
      <c r="C13">
        <f>COUNTIFS('Ca kiểm thử thủ công'!B:B,A13,'Ca kiểm thử thủ công'!C:C,"P0")</f>
        <v>5</v>
      </c>
      <c r="D13">
        <f>COUNTIFS('Ca kiểm thử thủ công'!B:B,A13,'Ca kiểm thử thủ công'!C:C,"P1")</f>
        <v>1</v>
      </c>
      <c r="E13">
        <f>COUNTIFS('Ca kiểm thử thủ công'!B:B,A13,'Ca kiểm thử thủ công'!H:H,"ĐẠT")</f>
        <v>0</v>
      </c>
      <c r="F13">
        <f>COUNTIFS('Ca kiểm thử thủ công'!B:B,A13,'Ca kiểm thử thủ công'!H:H,"KHÔNG ĐẠT")</f>
        <v>0</v>
      </c>
      <c r="G13">
        <f>COUNTIFS('Ca kiểm thử thủ công'!B:B,A13,'Ca kiểm thử thủ công'!H:H,"BỊ CHẶN")</f>
        <v>0</v>
      </c>
      <c r="H13">
        <f>COUNTIFS('Ca kiểm thử thủ công'!B:B,A13,'Ca kiểm thử thủ công'!H:H,"CHƯA CHẠY")</f>
        <v>6</v>
      </c>
      <c r="I13" s="6">
        <f t="shared" si="0"/>
        <v>0</v>
      </c>
    </row>
    <row r="14" spans="1:9" x14ac:dyDescent="0.25">
      <c r="A14" t="s">
        <v>287</v>
      </c>
      <c r="B14">
        <f>COUNTIF('Ca kiểm thử thủ công'!B:B,A14)</f>
        <v>6</v>
      </c>
      <c r="C14">
        <f>COUNTIFS('Ca kiểm thử thủ công'!B:B,A14,'Ca kiểm thử thủ công'!C:C,"P0")</f>
        <v>4</v>
      </c>
      <c r="D14">
        <f>COUNTIFS('Ca kiểm thử thủ công'!B:B,A14,'Ca kiểm thử thủ công'!C:C,"P1")</f>
        <v>2</v>
      </c>
      <c r="E14">
        <f>COUNTIFS('Ca kiểm thử thủ công'!B:B,A14,'Ca kiểm thử thủ công'!H:H,"ĐẠT")</f>
        <v>0</v>
      </c>
      <c r="F14">
        <f>COUNTIFS('Ca kiểm thử thủ công'!B:B,A14,'Ca kiểm thử thủ công'!H:H,"KHÔNG ĐẠT")</f>
        <v>0</v>
      </c>
      <c r="G14">
        <f>COUNTIFS('Ca kiểm thử thủ công'!B:B,A14,'Ca kiểm thử thủ công'!H:H,"BỊ CHẶN")</f>
        <v>0</v>
      </c>
      <c r="H14">
        <f>COUNTIFS('Ca kiểm thử thủ công'!B:B,A14,'Ca kiểm thử thủ công'!H:H,"CHƯA CHẠY")</f>
        <v>6</v>
      </c>
      <c r="I14" s="6">
        <f t="shared" si="0"/>
        <v>0</v>
      </c>
    </row>
    <row r="15" spans="1:9" x14ac:dyDescent="0.25">
      <c r="A15" t="s">
        <v>310</v>
      </c>
      <c r="B15">
        <f>COUNTIF('Ca kiểm thử thủ công'!B:B,A15)</f>
        <v>2</v>
      </c>
      <c r="C15">
        <f>COUNTIFS('Ca kiểm thử thủ công'!B:B,A15,'Ca kiểm thử thủ công'!C:C,"P0")</f>
        <v>0</v>
      </c>
      <c r="D15">
        <f>COUNTIFS('Ca kiểm thử thủ công'!B:B,A15,'Ca kiểm thử thủ công'!C:C,"P1")</f>
        <v>2</v>
      </c>
      <c r="E15">
        <f>COUNTIFS('Ca kiểm thử thủ công'!B:B,A15,'Ca kiểm thử thủ công'!H:H,"ĐẠT")</f>
        <v>0</v>
      </c>
      <c r="F15">
        <f>COUNTIFS('Ca kiểm thử thủ công'!B:B,A15,'Ca kiểm thử thủ công'!H:H,"KHÔNG ĐẠT")</f>
        <v>0</v>
      </c>
      <c r="G15">
        <f>COUNTIFS('Ca kiểm thử thủ công'!B:B,A15,'Ca kiểm thử thủ công'!H:H,"BỊ CHẶN")</f>
        <v>0</v>
      </c>
      <c r="H15">
        <f>COUNTIFS('Ca kiểm thử thủ công'!B:B,A15,'Ca kiểm thử thủ công'!H:H,"CHƯA CHẠY")</f>
        <v>2</v>
      </c>
      <c r="I15" s="6">
        <f t="shared" si="0"/>
        <v>0</v>
      </c>
    </row>
  </sheetData>
  <autoFilter ref="A1:I15" xr:uid="{00000000-0009-0000-0000-000002000000}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showGridLines="0" workbookViewId="0">
      <selection sqref="A1:F1"/>
    </sheetView>
  </sheetViews>
  <sheetFormatPr defaultRowHeight="15" x14ac:dyDescent="0.25"/>
  <cols>
    <col min="1" max="1" width="28" customWidth="1"/>
    <col min="2" max="2" width="110" customWidth="1"/>
  </cols>
  <sheetData>
    <row r="1" spans="1:6" ht="19.5" x14ac:dyDescent="0.3">
      <c r="A1" s="12" t="s">
        <v>337</v>
      </c>
      <c r="B1" s="10"/>
      <c r="C1" s="10"/>
      <c r="D1" s="10"/>
      <c r="E1" s="10"/>
      <c r="F1" s="10"/>
    </row>
    <row r="2" spans="1:6" x14ac:dyDescent="0.25">
      <c r="A2" s="2" t="s">
        <v>338</v>
      </c>
      <c r="B2" s="8" t="s">
        <v>339</v>
      </c>
    </row>
    <row r="3" spans="1:6" ht="30" x14ac:dyDescent="0.25">
      <c r="A3" s="2" t="s">
        <v>7</v>
      </c>
      <c r="B3" s="8" t="s">
        <v>340</v>
      </c>
    </row>
    <row r="4" spans="1:6" x14ac:dyDescent="0.25">
      <c r="A4" s="2" t="s">
        <v>2</v>
      </c>
      <c r="B4" s="8" t="s">
        <v>341</v>
      </c>
    </row>
    <row r="5" spans="1:6" x14ac:dyDescent="0.25">
      <c r="A5" s="2" t="s">
        <v>10</v>
      </c>
      <c r="B5" s="8" t="s">
        <v>342</v>
      </c>
    </row>
    <row r="6" spans="1:6" x14ac:dyDescent="0.25">
      <c r="A6" s="2" t="s">
        <v>319</v>
      </c>
      <c r="B6" s="8" t="s">
        <v>343</v>
      </c>
    </row>
    <row r="7" spans="1:6" ht="30" x14ac:dyDescent="0.25">
      <c r="A7" s="2" t="s">
        <v>344</v>
      </c>
      <c r="B7" s="8" t="s">
        <v>345</v>
      </c>
    </row>
    <row r="8" spans="1:6" x14ac:dyDescent="0.25">
      <c r="A8" s="2" t="s">
        <v>346</v>
      </c>
      <c r="B8" s="8" t="s">
        <v>347</v>
      </c>
    </row>
    <row r="9" spans="1:6" x14ac:dyDescent="0.25">
      <c r="A9" s="2" t="s">
        <v>348</v>
      </c>
      <c r="B9" s="8" t="s">
        <v>349</v>
      </c>
    </row>
    <row r="10" spans="1:6" ht="30" x14ac:dyDescent="0.25">
      <c r="A10" s="2" t="s">
        <v>350</v>
      </c>
      <c r="B10" s="8" t="s">
        <v>351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 kiểm thử thủ công</vt:lpstr>
      <vt:lpstr>Tổng quan</vt:lpstr>
      <vt:lpstr>Ma trận bao phủ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Xuan Long</cp:lastModifiedBy>
  <dcterms:created xsi:type="dcterms:W3CDTF">2026-08-28T09:38:02Z</dcterms:created>
  <dcterms:modified xsi:type="dcterms:W3CDTF">2026-08-28T09:59:51Z</dcterms:modified>
</cp:coreProperties>
</file>